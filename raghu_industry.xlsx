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FFF7A08991EBC77/Documents/"/>
    </mc:Choice>
  </mc:AlternateContent>
  <xr:revisionPtr revIDLastSave="317" documentId="8_{9D49EE21-E329-4AE9-BA4D-722B989D4C45}" xr6:coauthVersionLast="47" xr6:coauthVersionMax="47" xr10:uidLastSave="{6AE6671F-DC0A-496B-BD82-3187E24394F5}"/>
  <bookViews>
    <workbookView xWindow="-108" yWindow="-108" windowWidth="23256" windowHeight="12456" xr2:uid="{00000000-000D-0000-FFFF-FFFF00000000}"/>
  </bookViews>
  <sheets>
    <sheet name="Sheet2" sheetId="3" r:id="rId1"/>
    <sheet name="Industry_Data" sheetId="1" r:id="rId2"/>
    <sheet name="Sheet1" sheetId="2" r:id="rId3"/>
  </sheets>
  <definedNames>
    <definedName name="_xlnm._FilterDatabase" localSheetId="1" hidden="1">Industry_Data!$B$1:$C$323</definedName>
    <definedName name="_xlcn.WorksheetConnection_Industry_DataA1I3231" hidden="1">Industry_Data!$A$1:$I$323</definedName>
  </definedNames>
  <calcPr calcId="191029"/>
  <pivotCaches>
    <pivotCache cacheId="24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Industry_Data!$A$1:$I$32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 a="1"/>
  <c r="B3" i="2" s="1"/>
  <c r="F323" i="1"/>
  <c r="F3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72F16-2CCA-4B59-9D71-B9A4DBA953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886E959-0577-441A-8DE4-AEEBC7600CF6}" name="WorksheetConnection_Industry_Data!$A$1:$I$32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ndustry_DataA1I323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<sst xmlns="http://schemas.openxmlformats.org/spreadsheetml/2006/main" count="1628" uniqueCount="354">
  <si>
    <t>Company_ID</t>
  </si>
  <si>
    <t>Industry_Type</t>
  </si>
  <si>
    <t>Location</t>
  </si>
  <si>
    <t>Number_of_Employees</t>
  </si>
  <si>
    <t>Annual_Revenue_Million_USD</t>
  </si>
  <si>
    <t>Profit_Margin_Percent</t>
  </si>
  <si>
    <t>Years_in_Operation</t>
  </si>
  <si>
    <t>Ownership_Type</t>
  </si>
  <si>
    <t>Sustainability_Rating</t>
  </si>
  <si>
    <t>CMP0001</t>
  </si>
  <si>
    <t>Healthcare</t>
  </si>
  <si>
    <t>Chennai</t>
  </si>
  <si>
    <t>Government</t>
  </si>
  <si>
    <t>Medium</t>
  </si>
  <si>
    <t>CMP0002</t>
  </si>
  <si>
    <t>Automobile</t>
  </si>
  <si>
    <t>Bangalore</t>
  </si>
  <si>
    <t>Private</t>
  </si>
  <si>
    <t>Low</t>
  </si>
  <si>
    <t>CMP0003</t>
  </si>
  <si>
    <t>Pune</t>
  </si>
  <si>
    <t>High</t>
  </si>
  <si>
    <t>CMP0004</t>
  </si>
  <si>
    <t>Finance</t>
  </si>
  <si>
    <t>Public</t>
  </si>
  <si>
    <t>CMP0005</t>
  </si>
  <si>
    <t>CMP0006</t>
  </si>
  <si>
    <t>Hyderabad</t>
  </si>
  <si>
    <t>CMP0007</t>
  </si>
  <si>
    <t>Retail</t>
  </si>
  <si>
    <t>CMP0008</t>
  </si>
  <si>
    <t>Manufacturing</t>
  </si>
  <si>
    <t>Delhi</t>
  </si>
  <si>
    <t>CMP0009</t>
  </si>
  <si>
    <t>IT Services</t>
  </si>
  <si>
    <t>CMP0010</t>
  </si>
  <si>
    <t>CMP0011</t>
  </si>
  <si>
    <t>CMP0012</t>
  </si>
  <si>
    <t>CMP0013</t>
  </si>
  <si>
    <t>CMP0014</t>
  </si>
  <si>
    <t>Mumbai</t>
  </si>
  <si>
    <t>CMP0015</t>
  </si>
  <si>
    <t>Ahmedabad</t>
  </si>
  <si>
    <t>CMP0016</t>
  </si>
  <si>
    <t>CMP0017</t>
  </si>
  <si>
    <t>CMP0018</t>
  </si>
  <si>
    <t>CMP0019</t>
  </si>
  <si>
    <t>Energy</t>
  </si>
  <si>
    <t>CMP0020</t>
  </si>
  <si>
    <t>CMP0021</t>
  </si>
  <si>
    <t>CMP0022</t>
  </si>
  <si>
    <t>CMP0023</t>
  </si>
  <si>
    <t>CMP0024</t>
  </si>
  <si>
    <t>CMP0025</t>
  </si>
  <si>
    <t>CMP0026</t>
  </si>
  <si>
    <t>CMP0027</t>
  </si>
  <si>
    <t>CMP0028</t>
  </si>
  <si>
    <t>CMP0029</t>
  </si>
  <si>
    <t>CMP0030</t>
  </si>
  <si>
    <t>CMP0031</t>
  </si>
  <si>
    <t>CMP0032</t>
  </si>
  <si>
    <t>CMP0033</t>
  </si>
  <si>
    <t>CMP0034</t>
  </si>
  <si>
    <t>CMP0035</t>
  </si>
  <si>
    <t>CMP0036</t>
  </si>
  <si>
    <t>CMP0037</t>
  </si>
  <si>
    <t>CMP0038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</si>
  <si>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</si>
  <si>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</si>
  <si>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</si>
  <si>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</si>
  <si>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</si>
  <si>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</si>
  <si>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</si>
  <si>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</si>
  <si>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</si>
  <si>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CMP0048</t>
  </si>
  <si>
    <t>CMP0049</t>
  </si>
  <si>
    <t>CMP0050</t>
  </si>
  <si>
    <t>CMP0051</t>
  </si>
  <si>
    <t>CMP0052</t>
  </si>
  <si>
    <t>CMP0053</t>
  </si>
  <si>
    <t>CMP0054</t>
  </si>
  <si>
    <t>CMP0055</t>
  </si>
  <si>
    <t>CMP0056</t>
  </si>
  <si>
    <t>CMP0057</t>
  </si>
  <si>
    <t>CMP0058</t>
  </si>
  <si>
    <t>CMP0059</t>
  </si>
  <si>
    <t>CMP0060</t>
  </si>
  <si>
    <t>CMP0061</t>
  </si>
  <si>
    <t>CMP0062</t>
  </si>
  <si>
    <t>CMP0063</t>
  </si>
  <si>
    <t>CMP0064</t>
  </si>
  <si>
    <t>CMP0065</t>
  </si>
  <si>
    <t>CMP0066</t>
  </si>
  <si>
    <t>CMP0067</t>
  </si>
  <si>
    <t>CMP0068</t>
  </si>
  <si>
    <t>CMP0069</t>
  </si>
  <si>
    <t>CMP0070</t>
  </si>
  <si>
    <t>CMP0071</t>
  </si>
  <si>
    <t>CMP0072</t>
  </si>
  <si>
    <t>CMP0073</t>
  </si>
  <si>
    <t>CMP0074</t>
  </si>
  <si>
    <t>CMP0075</t>
  </si>
  <si>
    <t>CMP0076</t>
  </si>
  <si>
    <t>CMP0077</t>
  </si>
  <si>
    <t>CMP0078</t>
  </si>
  <si>
    <t>CMP0079</t>
  </si>
  <si>
    <t>CMP0080</t>
  </si>
  <si>
    <t>CMP0081</t>
  </si>
  <si>
    <t>CMP0082</t>
  </si>
  <si>
    <t>CMP0083</t>
  </si>
  <si>
    <t>CMP0084</t>
  </si>
  <si>
    <t>CMP0085</t>
  </si>
  <si>
    <t>CMP0086</t>
  </si>
  <si>
    <t>CMP0087</t>
  </si>
  <si>
    <t>CMP0088</t>
  </si>
  <si>
    <t>CMP0089</t>
  </si>
  <si>
    <t>CMP0090</t>
  </si>
  <si>
    <t>CMP0091</t>
  </si>
  <si>
    <t>CMP0092</t>
  </si>
  <si>
    <t>CMP0093</t>
  </si>
  <si>
    <t>CMP0094</t>
  </si>
  <si>
    <t>CMP0095</t>
  </si>
  <si>
    <t>CMP0096</t>
  </si>
  <si>
    <t>CMP0097</t>
  </si>
  <si>
    <t>CMP0098</t>
  </si>
  <si>
    <t>CMP0099</t>
  </si>
  <si>
    <t>CMP0100</t>
  </si>
  <si>
    <t>CMP0101</t>
  </si>
  <si>
    <t>CMP0102</t>
  </si>
  <si>
    <t>CMP0103</t>
  </si>
  <si>
    <t>CMP0104</t>
  </si>
  <si>
    <t>CMP0105</t>
  </si>
  <si>
    <t>CMP0106</t>
  </si>
  <si>
    <t>CMP0107</t>
  </si>
  <si>
    <t>CMP0108</t>
  </si>
  <si>
    <t>CMP0109</t>
  </si>
  <si>
    <t>CMP0110</t>
  </si>
  <si>
    <t>CMP0111</t>
  </si>
  <si>
    <t>CMP0112</t>
  </si>
  <si>
    <t>CMP0113</t>
  </si>
  <si>
    <t>CMP0114</t>
  </si>
  <si>
    <t>CMP0115</t>
  </si>
  <si>
    <t>CMP0116</t>
  </si>
  <si>
    <t>CMP0117</t>
  </si>
  <si>
    <t>CMP0118</t>
  </si>
  <si>
    <t>CMP0119</t>
  </si>
  <si>
    <t>CMP0120</t>
  </si>
  <si>
    <t>CMP0121</t>
  </si>
  <si>
    <t>CMP0122</t>
  </si>
  <si>
    <t>CMP0123</t>
  </si>
  <si>
    <t>CMP0124</t>
  </si>
  <si>
    <t>CMP0125</t>
  </si>
  <si>
    <t>CMP0126</t>
  </si>
  <si>
    <t>CMP0127</t>
  </si>
  <si>
    <t>CMP0128</t>
  </si>
  <si>
    <t>CMP0129</t>
  </si>
  <si>
    <t>CMP0130</t>
  </si>
  <si>
    <t>CMP0131</t>
  </si>
  <si>
    <t>CMP0132</t>
  </si>
  <si>
    <t>CMP0133</t>
  </si>
  <si>
    <t>CMP0134</t>
  </si>
  <si>
    <t>CMP0135</t>
  </si>
  <si>
    <t>CMP0136</t>
  </si>
  <si>
    <t>CMP0137</t>
  </si>
  <si>
    <t>CMP0138</t>
  </si>
  <si>
    <t>CMP0139</t>
  </si>
  <si>
    <t>CMP0140</t>
  </si>
  <si>
    <t>CMP0141</t>
  </si>
  <si>
    <t>CMP0142</t>
  </si>
  <si>
    <t>CMP0143</t>
  </si>
  <si>
    <t>CMP0144</t>
  </si>
  <si>
    <t>CMP0145</t>
  </si>
  <si>
    <t>CMP0146</t>
  </si>
  <si>
    <t>CMP0147</t>
  </si>
  <si>
    <t>CMP0148</t>
  </si>
  <si>
    <t>CMP0149</t>
  </si>
  <si>
    <t>CMP0150</t>
  </si>
  <si>
    <t>CMP0151</t>
  </si>
  <si>
    <t>CMP0152</t>
  </si>
  <si>
    <t>CMP0153</t>
  </si>
  <si>
    <t>CMP0154</t>
  </si>
  <si>
    <t>CMP0155</t>
  </si>
  <si>
    <t>CMP0156</t>
  </si>
  <si>
    <t>CMP0157</t>
  </si>
  <si>
    <t>CMP0158</t>
  </si>
  <si>
    <t>CMP0159</t>
  </si>
  <si>
    <t>CMP0160</t>
  </si>
  <si>
    <t>CMP0161</t>
  </si>
  <si>
    <t>CMP0162</t>
  </si>
  <si>
    <t>CMP0163</t>
  </si>
  <si>
    <t>CMP0164</t>
  </si>
  <si>
    <t>CMP0165</t>
  </si>
  <si>
    <t>CMP0166</t>
  </si>
  <si>
    <t>CMP0167</t>
  </si>
  <si>
    <t>CMP0168</t>
  </si>
  <si>
    <t>CMP0169</t>
  </si>
  <si>
    <t>CMP0170</t>
  </si>
  <si>
    <t>CMP0171</t>
  </si>
  <si>
    <t>CMP0172</t>
  </si>
  <si>
    <t>CMP0173</t>
  </si>
  <si>
    <t>CMP0174</t>
  </si>
  <si>
    <t>CMP0175</t>
  </si>
  <si>
    <t>CMP0176</t>
  </si>
  <si>
    <t>CMP0177</t>
  </si>
  <si>
    <t>CMP0178</t>
  </si>
  <si>
    <t>CMP0179</t>
  </si>
  <si>
    <t>CMP0180</t>
  </si>
  <si>
    <t>CMP0181</t>
  </si>
  <si>
    <t>CMP0182</t>
  </si>
  <si>
    <t>CMP0183</t>
  </si>
  <si>
    <t>CMP0184</t>
  </si>
  <si>
    <t>CMP0185</t>
  </si>
  <si>
    <t>CMP0186</t>
  </si>
  <si>
    <t>CMP0187</t>
  </si>
  <si>
    <t>CMP0188</t>
  </si>
  <si>
    <t>CMP0189</t>
  </si>
  <si>
    <t>CMP0190</t>
  </si>
  <si>
    <t>CMP0191</t>
  </si>
  <si>
    <t>CMP0192</t>
  </si>
  <si>
    <t>CMP0193</t>
  </si>
  <si>
    <t>CMP0194</t>
  </si>
  <si>
    <t>CMP0195</t>
  </si>
  <si>
    <t>CMP0196</t>
  </si>
  <si>
    <t>CMP0197</t>
  </si>
  <si>
    <t>CMP0198</t>
  </si>
  <si>
    <t>CMP0199</t>
  </si>
  <si>
    <t>CMP0200</t>
  </si>
  <si>
    <t>CMP0201</t>
  </si>
  <si>
    <t>CMP0202</t>
  </si>
  <si>
    <t>CMP0203</t>
  </si>
  <si>
    <t>CMP0204</t>
  </si>
  <si>
    <t>CMP0205</t>
  </si>
  <si>
    <t>CMP0206</t>
  </si>
  <si>
    <t>CMP0207</t>
  </si>
  <si>
    <t>CMP0208</t>
  </si>
  <si>
    <t>CMP0209</t>
  </si>
  <si>
    <t>CMP0210</t>
  </si>
  <si>
    <t>CMP0211</t>
  </si>
  <si>
    <t>CMP0212</t>
  </si>
  <si>
    <t>CMP0213</t>
  </si>
  <si>
    <t>CMP0214</t>
  </si>
  <si>
    <t>CMP0215</t>
  </si>
  <si>
    <t>CMP0216</t>
  </si>
  <si>
    <t>CMP0217</t>
  </si>
  <si>
    <t>CMP0218</t>
  </si>
  <si>
    <t>CMP0219</t>
  </si>
  <si>
    <t>CMP0220</t>
  </si>
  <si>
    <t>CMP0221</t>
  </si>
  <si>
    <t>CMP0222</t>
  </si>
  <si>
    <t>CMP0223</t>
  </si>
  <si>
    <t>CMP0224</t>
  </si>
  <si>
    <t>CMP0225</t>
  </si>
  <si>
    <t>CMP0226</t>
  </si>
  <si>
    <t>CMP0227</t>
  </si>
  <si>
    <t>CMP0228</t>
  </si>
  <si>
    <t>CMP0229</t>
  </si>
  <si>
    <t>CMP0230</t>
  </si>
  <si>
    <t>CMP0231</t>
  </si>
  <si>
    <t>CMP0232</t>
  </si>
  <si>
    <t>CMP0233</t>
  </si>
  <si>
    <t>CMP0234</t>
  </si>
  <si>
    <t>CMP0235</t>
  </si>
  <si>
    <t>CMP0236</t>
  </si>
  <si>
    <t>CMP0237</t>
  </si>
  <si>
    <t>CMP0238</t>
  </si>
  <si>
    <t>CMP0239</t>
  </si>
  <si>
    <t>CMP0240</t>
  </si>
  <si>
    <t>CMP0241</t>
  </si>
  <si>
    <t>CMP0242</t>
  </si>
  <si>
    <t>CMP0243</t>
  </si>
  <si>
    <t>CMP0244</t>
  </si>
  <si>
    <t>CMP0245</t>
  </si>
  <si>
    <t>CMP0246</t>
  </si>
  <si>
    <t>CMP0247</t>
  </si>
  <si>
    <t>CMP0248</t>
  </si>
  <si>
    <t>CMP0249</t>
  </si>
  <si>
    <t>CMP0250</t>
  </si>
  <si>
    <t>CMP0251</t>
  </si>
  <si>
    <t>CMP0252</t>
  </si>
  <si>
    <t>CMP0253</t>
  </si>
  <si>
    <t>CMP0254</t>
  </si>
  <si>
    <t>CMP0255</t>
  </si>
  <si>
    <t>CMP0256</t>
  </si>
  <si>
    <t>CMP0257</t>
  </si>
  <si>
    <t>CMP0258</t>
  </si>
  <si>
    <t>CMP0259</t>
  </si>
  <si>
    <t>CMP0260</t>
  </si>
  <si>
    <t>CMP0261</t>
  </si>
  <si>
    <t>CMP0262</t>
  </si>
  <si>
    <t>CMP0263</t>
  </si>
  <si>
    <t>CMP0264</t>
  </si>
  <si>
    <t>CMP0265</t>
  </si>
  <si>
    <t>CMP0266</t>
  </si>
  <si>
    <t>CMP0267</t>
  </si>
  <si>
    <t>CMP0268</t>
  </si>
  <si>
    <t>CMP0269</t>
  </si>
  <si>
    <t>CMP0270</t>
  </si>
  <si>
    <t>CMP0271</t>
  </si>
  <si>
    <t>CMP0272</t>
  </si>
  <si>
    <t>CMP0273</t>
  </si>
  <si>
    <t>CMP0274</t>
  </si>
  <si>
    <t>CMP0275</t>
  </si>
  <si>
    <t>CMP0276</t>
  </si>
  <si>
    <t>CMP0277</t>
  </si>
  <si>
    <t>CMP0278</t>
  </si>
  <si>
    <t>CMP0279</t>
  </si>
  <si>
    <t>CMP0280</t>
  </si>
  <si>
    <t>CMP0281</t>
  </si>
  <si>
    <t>CMP0282</t>
  </si>
  <si>
    <t>CMP0283</t>
  </si>
  <si>
    <t>CMP0284</t>
  </si>
  <si>
    <t>CMP0285</t>
  </si>
  <si>
    <t>CMP0286</t>
  </si>
  <si>
    <t>CMP0287</t>
  </si>
  <si>
    <t>CMP0288</t>
  </si>
  <si>
    <t>CMP0289</t>
  </si>
  <si>
    <t>CMP0290</t>
  </si>
  <si>
    <t>CMP0291</t>
  </si>
  <si>
    <t>CMP0292</t>
  </si>
  <si>
    <t>CMP0293</t>
  </si>
  <si>
    <t>CMP0294</t>
  </si>
  <si>
    <t>CMP0295</t>
  </si>
  <si>
    <t>CMP0296</t>
  </si>
  <si>
    <t>CMP0297</t>
  </si>
  <si>
    <t>CMP0298</t>
  </si>
  <si>
    <t>CMP0299</t>
  </si>
  <si>
    <t>CMP0300</t>
  </si>
  <si>
    <t>CMP0301</t>
  </si>
  <si>
    <t>CMP0302</t>
  </si>
  <si>
    <t>CMP0303</t>
  </si>
  <si>
    <t>CMP0304</t>
  </si>
  <si>
    <t>CMP0305</t>
  </si>
  <si>
    <t>CMP0306</t>
  </si>
  <si>
    <t>CMP0307</t>
  </si>
  <si>
    <t>CMP0308</t>
  </si>
  <si>
    <t>CMP0309</t>
  </si>
  <si>
    <t>CMP0310</t>
  </si>
  <si>
    <t>CMP0311</t>
  </si>
  <si>
    <t>CMP0312</t>
  </si>
  <si>
    <t>CMP0313</t>
  </si>
  <si>
    <t>CMP0314</t>
  </si>
  <si>
    <t>CMP0315</t>
  </si>
  <si>
    <t>CMP0316</t>
  </si>
  <si>
    <t>CMP0317</t>
  </si>
  <si>
    <t>CMP0318</t>
  </si>
  <si>
    <t>CMP0319</t>
  </si>
  <si>
    <t>CMP0320</t>
  </si>
  <si>
    <t>chennai</t>
  </si>
  <si>
    <t>Column Labels</t>
  </si>
  <si>
    <t>Grand Total</t>
  </si>
  <si>
    <t>Sum of Annual_Revenue_Million_USD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</si>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</sst>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ommishitty Raghu" refreshedDate="46219.642161111115" backgroundQuery="1" createdVersion="8" refreshedVersion="8" minRefreshableVersion="3" recordCount="0" supportSubquery="1" supportAdvancedDrill="1" xr:uid="{00E4DC87-A9D5-4995-8242-7560836B287C}">
  <cacheSource type="external" connectionId="1"/>
  <cacheFields count="3">
    <cacheField name="[Range].[Industry_Type].[Industry_Type]" caption="Industry_Type" numFmtId="0" hierarchy="1" level="1">
      <sharedItems count="7">
        <s v="Automobile"/>
        <s v="Energy"/>
        <s v="Finance"/>
        <s v="Healthcare"/>
        <s v="IT Services"/>
        <s v="Manufacturing"/>
        <s v="Retail"/>
      </sharedItems>
    </cacheField>
    <cacheField name="[Measures].[Sum of Annual_Revenue_Million_USD]" caption="Sum of Annual_Revenue_Million_USD" numFmtId="0" hierarchy="11" level="32767"/>
    <cacheField name="[Range].[Location].[Location]" caption="Location" numFmtId="0" hierarchy="2" level="1">
      <sharedItems count="7">
        <s v="Ahmedabad"/>
        <s v="Bangalore"/>
        <s v="chennai"/>
        <s v="Delhi"/>
        <s v="Hyderabad"/>
        <s v="Mumbai"/>
        <s v="Pune"/>
      </sharedItems>
    </cacheField>
  </cacheFields>
  <cacheHierarchies count="12">
    <cacheHierarchy uniqueName="[Range].[Company_ID]" caption="Company_ID" attribute="1" defaultMemberUniqueName="[Range].[Company_ID].[All]" allUniqueName="[Range].[Company_ID].[All]" dimensionUniqueName="[Range]" displayFolder="" count="0" memberValueDatatype="130" unbalanced="0"/>
    <cacheHierarchy uniqueName="[Range].[Industry_Type]" caption="Industry_Type" attribute="1" defaultMemberUniqueName="[Range].[Industry_Type].[All]" allUniqueName="[Range].[Industry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ocation]" caption="Location" attribute="1" defaultMemberUniqueName="[Range].[Location].[All]" allUniqueName="[Range].[Locat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Number_of_Employees]" caption="Number_of_Employees" attribute="1" defaultMemberUniqueName="[Range].[Number_of_Employees].[All]" allUniqueName="[Range].[Number_of_Employees].[All]" dimensionUniqueName="[Range]" displayFolder="" count="0" memberValueDatatype="20" unbalanced="0"/>
    <cacheHierarchy uniqueName="[Range].[Annual_Revenue_Million_USD]" caption="Annual_Revenue_Million_USD" attribute="1" defaultMemberUniqueName="[Range].[Annual_Revenue_Million_USD].[All]" allUniqueName="[Range].[Annual_Revenue_Million_USD].[All]" dimensionUniqueName="[Range]" displayFolder="" count="0" memberValueDatatype="5" unbalanced="0"/>
    <cacheHierarchy uniqueName="[Range].[Profit_Margin_Percent]" caption="Profit_Margin_Percent" attribute="1" defaultMemberUniqueName="[Range].[Profit_Margin_Percent].[All]" allUniqueName="[Range].[Profit_Margin_Percent].[All]" dimensionUniqueName="[Range]" displayFolder="" count="0" memberValueDatatype="5" unbalanced="0"/>
    <cacheHierarchy uniqueName="[Range].[Years_in_Operation]" caption="Years_in_Operation" attribute="1" defaultMemberUniqueName="[Range].[Years_in_Operation].[All]" allUniqueName="[Range].[Years_in_Operation].[All]" dimensionUniqueName="[Range]" displayFolder="" count="0" memberValueDatatype="20" unbalanced="0"/>
    <cacheHierarchy uniqueName="[Range].[Ownership_Type]" caption="Ownership_Type" attribute="1" defaultMemberUniqueName="[Range].[Ownership_Type].[All]" allUniqueName="[Range].[Ownership_Type].[All]" dimensionUniqueName="[Range]" displayFolder="" count="0" memberValueDatatype="130" unbalanced="0"/>
    <cacheHierarchy uniqueName="[Range].[Sustainability_Rating]" caption="Sustainability_Rating" attribute="1" defaultMemberUniqueName="[Range].[Sustainability_Rating].[All]" allUniqueName="[Range].[Sustainability_Rating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nnual_Revenue_Million_USD]" caption="Sum of Annual_Revenue_Million_US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BF893-BA75-4EF2-A8D8-726A3A058EEA}" name="PivotTable2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I12" firstHeaderRow="1" firstDataRow="2" firstDataCol="1"/>
  <pivotFields count="3"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nnual_Revenue_Million_USD" fld="1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dustry_Data!$A$1:$I$32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17B2-56C3-4322-A922-2D6459248A03}">
  <dimension ref="A3:I12"/>
  <sheetViews>
    <sheetView tabSelected="1" workbookViewId="0">
      <selection activeCell="A3" sqref="A3"/>
    </sheetView>
  </sheetViews>
  <sheetFormatPr defaultRowHeight="14.4" x14ac:dyDescent="0.3"/>
  <cols>
    <col min="1" max="1" width="33.77734375" bestFit="1" customWidth="1"/>
    <col min="2" max="2" width="15.5546875" bestFit="1" customWidth="1"/>
    <col min="3" max="4" width="9" bestFit="1" customWidth="1"/>
    <col min="5" max="5" width="10" bestFit="1" customWidth="1"/>
    <col min="6" max="6" width="9.77734375" bestFit="1" customWidth="1"/>
    <col min="7" max="7" width="13.6640625" bestFit="1" customWidth="1"/>
    <col min="8" max="8" width="9" bestFit="1" customWidth="1"/>
    <col min="9" max="9" width="10.77734375" bestFit="1" customWidth="1"/>
  </cols>
  <sheetData>
    <row r="3" spans="1:9" x14ac:dyDescent="0.3">
      <c r="A3" s="3" t="s">
        <v>352</v>
      </c>
      <c r="B3" s="3" t="s">
        <v>350</v>
      </c>
    </row>
    <row r="4" spans="1:9" x14ac:dyDescent="0.3">
      <c r="A4" s="3" t="s">
        <v>353</v>
      </c>
      <c r="B4" t="s">
        <v>15</v>
      </c>
      <c r="C4" t="s">
        <v>47</v>
      </c>
      <c r="D4" t="s">
        <v>23</v>
      </c>
      <c r="E4" t="s">
        <v>10</v>
      </c>
      <c r="F4" t="s">
        <v>34</v>
      </c>
      <c r="G4" t="s">
        <v>31</v>
      </c>
      <c r="H4" t="s">
        <v>29</v>
      </c>
      <c r="I4" t="s">
        <v>351</v>
      </c>
    </row>
    <row r="5" spans="1:9" x14ac:dyDescent="0.3">
      <c r="A5" s="5" t="s">
        <v>42</v>
      </c>
      <c r="B5" s="4">
        <v>1908.69</v>
      </c>
      <c r="C5" s="4">
        <v>1389.7100000000003</v>
      </c>
      <c r="D5" s="4">
        <v>2674.3</v>
      </c>
      <c r="E5" s="4">
        <v>2895</v>
      </c>
      <c r="F5" s="4">
        <v>2378.2799999999997</v>
      </c>
      <c r="G5" s="4">
        <v>1258.3499999999999</v>
      </c>
      <c r="H5" s="4">
        <v>773.85</v>
      </c>
      <c r="I5" s="4">
        <v>13278.18</v>
      </c>
    </row>
    <row r="6" spans="1:9" x14ac:dyDescent="0.3">
      <c r="A6" s="5" t="s">
        <v>16</v>
      </c>
      <c r="B6" s="4">
        <v>2832.4999999999995</v>
      </c>
      <c r="C6" s="4">
        <v>2805.91</v>
      </c>
      <c r="D6" s="4">
        <v>2795.41</v>
      </c>
      <c r="E6" s="4">
        <v>2361.4499999999998</v>
      </c>
      <c r="F6" s="4">
        <v>1553.38</v>
      </c>
      <c r="G6" s="4">
        <v>2377.33</v>
      </c>
      <c r="H6" s="4">
        <v>962.49</v>
      </c>
      <c r="I6" s="4">
        <v>15688.470000000001</v>
      </c>
    </row>
    <row r="7" spans="1:9" x14ac:dyDescent="0.3">
      <c r="A7" s="5" t="s">
        <v>349</v>
      </c>
      <c r="B7" s="4">
        <v>3186.6099999999997</v>
      </c>
      <c r="C7" s="4">
        <v>1573.14</v>
      </c>
      <c r="D7" s="4">
        <v>1215.6199999999999</v>
      </c>
      <c r="E7" s="4">
        <v>1373.5000000000002</v>
      </c>
      <c r="F7" s="4">
        <v>1462.15</v>
      </c>
      <c r="G7" s="4">
        <v>221.74</v>
      </c>
      <c r="H7" s="4">
        <v>2191.61</v>
      </c>
      <c r="I7" s="4">
        <v>11224.369999999999</v>
      </c>
    </row>
    <row r="8" spans="1:9" x14ac:dyDescent="0.3">
      <c r="A8" s="5" t="s">
        <v>32</v>
      </c>
      <c r="B8" s="4">
        <v>1675.1</v>
      </c>
      <c r="C8" s="4">
        <v>2413.0399999999995</v>
      </c>
      <c r="D8" s="4">
        <v>957.15</v>
      </c>
      <c r="E8" s="4">
        <v>1717.7900000000002</v>
      </c>
      <c r="F8" s="4">
        <v>1620.98</v>
      </c>
      <c r="G8" s="4">
        <v>1548.56</v>
      </c>
      <c r="H8" s="4">
        <v>1537.9899999999998</v>
      </c>
      <c r="I8" s="4">
        <v>11470.609999999999</v>
      </c>
    </row>
    <row r="9" spans="1:9" x14ac:dyDescent="0.3">
      <c r="A9" s="5" t="s">
        <v>27</v>
      </c>
      <c r="B9" s="4">
        <v>1268.6199999999999</v>
      </c>
      <c r="C9" s="4">
        <v>1649.25</v>
      </c>
      <c r="D9" s="4">
        <v>2236.2000000000003</v>
      </c>
      <c r="E9" s="4">
        <v>1919.1000000000004</v>
      </c>
      <c r="F9" s="4">
        <v>1406.98</v>
      </c>
      <c r="G9" s="4">
        <v>1921.2499999999998</v>
      </c>
      <c r="H9" s="4">
        <v>1716.8600000000001</v>
      </c>
      <c r="I9" s="4">
        <v>12118.26</v>
      </c>
    </row>
    <row r="10" spans="1:9" x14ac:dyDescent="0.3">
      <c r="A10" s="5" t="s">
        <v>40</v>
      </c>
      <c r="B10" s="4">
        <v>1592.91</v>
      </c>
      <c r="C10" s="4">
        <v>1806.76</v>
      </c>
      <c r="D10" s="4">
        <v>1322.27</v>
      </c>
      <c r="E10" s="4">
        <v>1437.5800000000002</v>
      </c>
      <c r="F10" s="4">
        <v>449.67999999999995</v>
      </c>
      <c r="G10" s="4">
        <v>970.81999999999994</v>
      </c>
      <c r="H10" s="4">
        <v>1386.0700000000002</v>
      </c>
      <c r="I10" s="4">
        <v>8966.09</v>
      </c>
    </row>
    <row r="11" spans="1:9" x14ac:dyDescent="0.3">
      <c r="A11" s="5" t="s">
        <v>20</v>
      </c>
      <c r="B11" s="4">
        <v>1609.34</v>
      </c>
      <c r="C11" s="4">
        <v>1593.1299999999999</v>
      </c>
      <c r="D11" s="4">
        <v>582.4</v>
      </c>
      <c r="E11" s="4">
        <v>1740.82</v>
      </c>
      <c r="F11" s="4">
        <v>794.71</v>
      </c>
      <c r="G11" s="4">
        <v>1685.13</v>
      </c>
      <c r="H11" s="4">
        <v>1834.2400000000002</v>
      </c>
      <c r="I11" s="4">
        <v>9839.77</v>
      </c>
    </row>
    <row r="12" spans="1:9" x14ac:dyDescent="0.3">
      <c r="A12" s="5" t="s">
        <v>351</v>
      </c>
      <c r="B12" s="4">
        <v>14073.77</v>
      </c>
      <c r="C12" s="4">
        <v>13230.94</v>
      </c>
      <c r="D12" s="4">
        <v>11783.349999999999</v>
      </c>
      <c r="E12" s="4">
        <v>13445.240000000003</v>
      </c>
      <c r="F12" s="4">
        <v>9666.159999999998</v>
      </c>
      <c r="G12" s="4">
        <v>9983.18</v>
      </c>
      <c r="H12" s="4">
        <v>10403.11</v>
      </c>
      <c r="I12" s="4">
        <v>82585.75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3"/>
  <sheetViews>
    <sheetView zoomScale="104" zoomScaleNormal="115" workbookViewId="0">
      <selection activeCell="E16" sqref="A1:I323"/>
    </sheetView>
  </sheetViews>
  <sheetFormatPr defaultRowHeight="14.4" x14ac:dyDescent="0.3"/>
  <cols>
    <col min="1" max="1" width="11.77734375" customWidth="1"/>
    <col min="2" max="2" width="13.44140625" customWidth="1"/>
    <col min="3" max="3" width="10.5546875" customWidth="1"/>
    <col min="4" max="4" width="15.6640625" customWidth="1"/>
    <col min="5" max="5" width="24" customWidth="1"/>
    <col min="6" max="6" width="17.88671875" customWidth="1"/>
    <col min="7" max="7" width="15.77734375" customWidth="1"/>
    <col min="8" max="8" width="17.21875" customWidth="1"/>
    <col min="9" max="9" width="20.77734375" customWidth="1"/>
  </cols>
  <sheetData>
    <row r="1" spans="1:9" s="2" customFormat="1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349</v>
      </c>
      <c r="D2" s="1">
        <v>1916</v>
      </c>
      <c r="E2" s="1">
        <v>206.47</v>
      </c>
      <c r="F2" s="1">
        <v>19.13</v>
      </c>
      <c r="G2" s="1">
        <v>49</v>
      </c>
      <c r="H2" s="1" t="s">
        <v>12</v>
      </c>
      <c r="I2" s="1" t="s">
        <v>13</v>
      </c>
    </row>
    <row r="3" spans="1:9" x14ac:dyDescent="0.3">
      <c r="A3" s="1" t="s">
        <v>14</v>
      </c>
      <c r="B3" s="1" t="s">
        <v>15</v>
      </c>
      <c r="C3" s="1" t="s">
        <v>349</v>
      </c>
      <c r="D3" s="1">
        <v>1520</v>
      </c>
      <c r="E3" s="1">
        <v>1</v>
      </c>
      <c r="F3" s="1">
        <v>31.95</v>
      </c>
      <c r="G3" s="1">
        <v>46</v>
      </c>
      <c r="H3" s="1" t="s">
        <v>17</v>
      </c>
      <c r="I3" s="1" t="s">
        <v>18</v>
      </c>
    </row>
    <row r="4" spans="1:9" x14ac:dyDescent="0.3">
      <c r="A4" s="1" t="s">
        <v>19</v>
      </c>
      <c r="B4" s="1" t="s">
        <v>10</v>
      </c>
      <c r="C4" s="1" t="s">
        <v>20</v>
      </c>
      <c r="D4" s="1">
        <v>4959</v>
      </c>
      <c r="E4" s="1">
        <v>400.23</v>
      </c>
      <c r="F4" s="1">
        <v>38.81</v>
      </c>
      <c r="G4" s="1">
        <v>44</v>
      </c>
      <c r="H4" s="1" t="s">
        <v>12</v>
      </c>
      <c r="I4" s="1" t="s">
        <v>21</v>
      </c>
    </row>
    <row r="5" spans="1:9" x14ac:dyDescent="0.3">
      <c r="A5" s="1" t="s">
        <v>22</v>
      </c>
      <c r="B5" s="1" t="s">
        <v>23</v>
      </c>
      <c r="C5" s="1" t="s">
        <v>16</v>
      </c>
      <c r="D5" s="1">
        <v>4233</v>
      </c>
      <c r="E5" s="1">
        <v>83.44</v>
      </c>
      <c r="F5" s="1">
        <v>33.340000000000003</v>
      </c>
      <c r="G5" s="1">
        <v>7</v>
      </c>
      <c r="H5" s="1" t="s">
        <v>24</v>
      </c>
      <c r="I5" s="1" t="s">
        <v>21</v>
      </c>
    </row>
    <row r="6" spans="1:9" x14ac:dyDescent="0.3">
      <c r="A6" s="1" t="s">
        <v>25</v>
      </c>
      <c r="B6" s="1" t="s">
        <v>10</v>
      </c>
      <c r="C6" s="1" t="s">
        <v>20</v>
      </c>
      <c r="D6" s="1">
        <v>4732</v>
      </c>
      <c r="E6" s="1">
        <v>600</v>
      </c>
      <c r="F6" s="1">
        <v>12.17</v>
      </c>
      <c r="G6" s="1">
        <v>38</v>
      </c>
      <c r="H6" s="1" t="s">
        <v>24</v>
      </c>
      <c r="I6" s="1" t="s">
        <v>21</v>
      </c>
    </row>
    <row r="7" spans="1:9" x14ac:dyDescent="0.3">
      <c r="A7" s="1" t="s">
        <v>26</v>
      </c>
      <c r="B7" s="1" t="s">
        <v>15</v>
      </c>
      <c r="C7" s="1" t="s">
        <v>27</v>
      </c>
      <c r="D7" s="1">
        <v>4334</v>
      </c>
      <c r="E7" s="1">
        <v>342.71</v>
      </c>
      <c r="F7" s="1">
        <v>28.39</v>
      </c>
      <c r="G7" s="1">
        <v>43</v>
      </c>
      <c r="H7" s="1" t="s">
        <v>12</v>
      </c>
      <c r="I7" s="1" t="s">
        <v>18</v>
      </c>
    </row>
    <row r="8" spans="1:9" x14ac:dyDescent="0.3">
      <c r="A8" s="1" t="s">
        <v>28</v>
      </c>
      <c r="B8" s="1" t="s">
        <v>29</v>
      </c>
      <c r="C8" s="1" t="s">
        <v>27</v>
      </c>
      <c r="D8" s="1">
        <v>1930</v>
      </c>
      <c r="E8" s="1">
        <v>37.96</v>
      </c>
      <c r="F8" s="1">
        <v>23.39</v>
      </c>
      <c r="G8" s="1">
        <v>20</v>
      </c>
      <c r="H8" s="1" t="s">
        <v>17</v>
      </c>
      <c r="I8" s="1" t="s">
        <v>13</v>
      </c>
    </row>
    <row r="9" spans="1:9" x14ac:dyDescent="0.3">
      <c r="A9" s="1" t="s">
        <v>30</v>
      </c>
      <c r="B9" s="1" t="s">
        <v>31</v>
      </c>
      <c r="C9" s="1" t="s">
        <v>32</v>
      </c>
      <c r="D9" s="1">
        <v>2909</v>
      </c>
      <c r="E9" s="1">
        <v>476.73</v>
      </c>
      <c r="F9" s="1">
        <v>38.68</v>
      </c>
      <c r="G9" s="1">
        <v>11</v>
      </c>
      <c r="H9" s="1" t="s">
        <v>24</v>
      </c>
      <c r="I9" s="1" t="s">
        <v>21</v>
      </c>
    </row>
    <row r="10" spans="1:9" x14ac:dyDescent="0.3">
      <c r="A10" s="1" t="s">
        <v>33</v>
      </c>
      <c r="B10" s="1" t="s">
        <v>34</v>
      </c>
      <c r="C10" s="1" t="s">
        <v>16</v>
      </c>
      <c r="D10" s="1">
        <v>84</v>
      </c>
      <c r="E10" s="1">
        <v>243.67</v>
      </c>
      <c r="F10" s="1">
        <v>38.869999999999997</v>
      </c>
      <c r="G10" s="1">
        <v>16</v>
      </c>
      <c r="H10" s="1" t="s">
        <v>17</v>
      </c>
      <c r="I10" s="1" t="s">
        <v>18</v>
      </c>
    </row>
    <row r="11" spans="1:9" x14ac:dyDescent="0.3">
      <c r="A11" s="1" t="s">
        <v>35</v>
      </c>
      <c r="B11" s="1" t="s">
        <v>23</v>
      </c>
      <c r="C11" s="1" t="s">
        <v>11</v>
      </c>
      <c r="D11" s="1">
        <v>3242</v>
      </c>
      <c r="E11" s="1">
        <v>11.92</v>
      </c>
      <c r="F11" s="1">
        <v>8.48</v>
      </c>
      <c r="G11" s="1">
        <v>7</v>
      </c>
      <c r="H11" s="1" t="s">
        <v>24</v>
      </c>
      <c r="I11" s="1" t="s">
        <v>21</v>
      </c>
    </row>
    <row r="12" spans="1:9" x14ac:dyDescent="0.3">
      <c r="A12" s="1" t="s">
        <v>36</v>
      </c>
      <c r="B12" s="1" t="s">
        <v>10</v>
      </c>
      <c r="C12" s="1" t="s">
        <v>32</v>
      </c>
      <c r="D12" s="1">
        <v>4340</v>
      </c>
      <c r="E12" s="1">
        <v>346.81</v>
      </c>
      <c r="F12" s="1">
        <v>14.23</v>
      </c>
      <c r="G12" s="1">
        <v>3</v>
      </c>
      <c r="H12" s="1" t="s">
        <v>24</v>
      </c>
      <c r="I12" s="1" t="s">
        <v>18</v>
      </c>
    </row>
    <row r="13" spans="1:9" x14ac:dyDescent="0.3">
      <c r="A13" s="1" t="s">
        <v>37</v>
      </c>
      <c r="B13" s="1" t="s">
        <v>10</v>
      </c>
      <c r="C13" s="1" t="s">
        <v>16</v>
      </c>
      <c r="D13" s="1">
        <v>1092</v>
      </c>
      <c r="E13" s="1">
        <v>472.78</v>
      </c>
      <c r="F13" s="1">
        <v>24.88</v>
      </c>
      <c r="G13" s="1">
        <v>37</v>
      </c>
      <c r="H13" s="1" t="s">
        <v>12</v>
      </c>
      <c r="I13" s="1" t="s">
        <v>21</v>
      </c>
    </row>
    <row r="14" spans="1:9" x14ac:dyDescent="0.3">
      <c r="A14" s="1" t="s">
        <v>38</v>
      </c>
      <c r="B14" s="1" t="s">
        <v>23</v>
      </c>
      <c r="C14" s="1" t="s">
        <v>11</v>
      </c>
      <c r="D14" s="1">
        <v>1104</v>
      </c>
      <c r="E14" s="1">
        <v>295.86</v>
      </c>
      <c r="F14" s="1">
        <v>38.56</v>
      </c>
      <c r="G14" s="1">
        <v>13</v>
      </c>
      <c r="H14" s="1" t="s">
        <v>24</v>
      </c>
      <c r="I14" s="1" t="s">
        <v>13</v>
      </c>
    </row>
    <row r="15" spans="1:9" x14ac:dyDescent="0.3">
      <c r="A15" s="1" t="s">
        <v>39</v>
      </c>
      <c r="B15" s="1" t="s">
        <v>31</v>
      </c>
      <c r="C15" s="1" t="s">
        <v>40</v>
      </c>
      <c r="D15" s="1">
        <v>2438</v>
      </c>
      <c r="E15" s="1">
        <v>456.09</v>
      </c>
      <c r="F15" s="1">
        <v>32.96</v>
      </c>
      <c r="G15" s="1">
        <v>1</v>
      </c>
      <c r="H15" s="1" t="s">
        <v>17</v>
      </c>
      <c r="I15" s="1" t="s">
        <v>18</v>
      </c>
    </row>
    <row r="16" spans="1:9" x14ac:dyDescent="0.3">
      <c r="A16" s="1" t="s">
        <v>41</v>
      </c>
      <c r="B16" s="1" t="s">
        <v>34</v>
      </c>
      <c r="C16" s="1" t="s">
        <v>42</v>
      </c>
      <c r="D16" s="1">
        <v>3816</v>
      </c>
      <c r="E16" s="1">
        <v>264.44</v>
      </c>
      <c r="F16" s="1">
        <v>29.86</v>
      </c>
      <c r="G16" s="1">
        <v>37</v>
      </c>
      <c r="H16" s="1" t="s">
        <v>12</v>
      </c>
      <c r="I16" s="1" t="s">
        <v>18</v>
      </c>
    </row>
    <row r="17" spans="1:9" x14ac:dyDescent="0.3">
      <c r="A17" s="1" t="s">
        <v>43</v>
      </c>
      <c r="B17" s="1" t="s">
        <v>15</v>
      </c>
      <c r="C17" s="1" t="s">
        <v>11</v>
      </c>
      <c r="D17" s="1">
        <v>3057</v>
      </c>
      <c r="E17" s="1">
        <v>412.33</v>
      </c>
      <c r="F17" s="1">
        <v>25.71</v>
      </c>
      <c r="G17" s="1">
        <v>12</v>
      </c>
      <c r="H17" s="1" t="s">
        <v>17</v>
      </c>
      <c r="I17" s="1" t="s">
        <v>13</v>
      </c>
    </row>
    <row r="18" spans="1:9" x14ac:dyDescent="0.3">
      <c r="A18" s="1" t="s">
        <v>44</v>
      </c>
      <c r="B18" s="1" t="s">
        <v>29</v>
      </c>
      <c r="C18" s="1" t="s">
        <v>11</v>
      </c>
      <c r="D18" s="1">
        <v>1810</v>
      </c>
      <c r="E18" s="1">
        <v>414.66</v>
      </c>
      <c r="F18" s="1">
        <v>7.1</v>
      </c>
      <c r="G18" s="1">
        <v>27</v>
      </c>
      <c r="H18" s="1" t="s">
        <v>12</v>
      </c>
      <c r="I18" s="1" t="s">
        <v>21</v>
      </c>
    </row>
    <row r="19" spans="1:9" x14ac:dyDescent="0.3">
      <c r="A19" s="1" t="s">
        <v>45</v>
      </c>
      <c r="B19" s="1" t="s">
        <v>15</v>
      </c>
      <c r="C19" s="1" t="s">
        <v>16</v>
      </c>
      <c r="D19" s="1">
        <v>2166</v>
      </c>
      <c r="E19" s="1">
        <v>409.81</v>
      </c>
      <c r="F19" s="1">
        <v>29.51</v>
      </c>
      <c r="G19" s="1">
        <v>22</v>
      </c>
      <c r="H19" s="1" t="s">
        <v>17</v>
      </c>
      <c r="I19" s="1" t="s">
        <v>18</v>
      </c>
    </row>
    <row r="20" spans="1:9" x14ac:dyDescent="0.3">
      <c r="A20" s="1" t="s">
        <v>46</v>
      </c>
      <c r="B20" s="1" t="s">
        <v>47</v>
      </c>
      <c r="C20" s="1" t="s">
        <v>27</v>
      </c>
      <c r="D20" s="1">
        <v>3100</v>
      </c>
      <c r="E20" s="1">
        <v>442.34</v>
      </c>
      <c r="F20" s="1">
        <v>39.04</v>
      </c>
      <c r="G20" s="1">
        <v>15</v>
      </c>
      <c r="H20" s="1" t="s">
        <v>12</v>
      </c>
      <c r="I20" s="1" t="s">
        <v>13</v>
      </c>
    </row>
    <row r="21" spans="1:9" x14ac:dyDescent="0.3">
      <c r="A21" s="1" t="s">
        <v>48</v>
      </c>
      <c r="B21" s="1" t="s">
        <v>15</v>
      </c>
      <c r="C21" s="1" t="s">
        <v>16</v>
      </c>
      <c r="D21" s="1">
        <v>2148</v>
      </c>
      <c r="E21" s="1">
        <v>476.37</v>
      </c>
      <c r="F21" s="1">
        <v>7.85</v>
      </c>
      <c r="G21" s="1">
        <v>32</v>
      </c>
      <c r="H21" s="1" t="s">
        <v>12</v>
      </c>
      <c r="I21" s="1" t="s">
        <v>18</v>
      </c>
    </row>
    <row r="22" spans="1:9" x14ac:dyDescent="0.3">
      <c r="A22" s="1" t="s">
        <v>49</v>
      </c>
      <c r="B22" s="1" t="s">
        <v>10</v>
      </c>
      <c r="C22" s="1" t="s">
        <v>16</v>
      </c>
      <c r="D22" s="1">
        <v>1681</v>
      </c>
      <c r="E22" s="1">
        <v>110.23</v>
      </c>
      <c r="F22" s="1">
        <v>31.43</v>
      </c>
      <c r="G22" s="1">
        <v>27</v>
      </c>
      <c r="H22" s="1" t="s">
        <v>12</v>
      </c>
      <c r="I22" s="1" t="s">
        <v>18</v>
      </c>
    </row>
    <row r="23" spans="1:9" x14ac:dyDescent="0.3">
      <c r="A23" s="1" t="s">
        <v>50</v>
      </c>
      <c r="B23" s="1" t="s">
        <v>10</v>
      </c>
      <c r="C23" s="1" t="s">
        <v>27</v>
      </c>
      <c r="D23" s="1">
        <v>2830</v>
      </c>
      <c r="E23" s="1">
        <v>454.45</v>
      </c>
      <c r="F23" s="1">
        <v>9.3800000000000008</v>
      </c>
      <c r="G23" s="1">
        <v>17</v>
      </c>
      <c r="H23" s="1" t="s">
        <v>12</v>
      </c>
      <c r="I23" s="1" t="s">
        <v>13</v>
      </c>
    </row>
    <row r="24" spans="1:9" x14ac:dyDescent="0.3">
      <c r="A24" s="1" t="s">
        <v>51</v>
      </c>
      <c r="B24" s="1" t="s">
        <v>15</v>
      </c>
      <c r="C24" s="1" t="s">
        <v>32</v>
      </c>
      <c r="D24" s="1">
        <v>2690</v>
      </c>
      <c r="E24" s="1">
        <v>137.72</v>
      </c>
      <c r="F24" s="1">
        <v>26.63</v>
      </c>
      <c r="G24" s="1">
        <v>27</v>
      </c>
      <c r="H24" s="1" t="s">
        <v>17</v>
      </c>
      <c r="I24" s="1" t="s">
        <v>21</v>
      </c>
    </row>
    <row r="25" spans="1:9" x14ac:dyDescent="0.3">
      <c r="A25" s="1" t="s">
        <v>52</v>
      </c>
      <c r="B25" s="1" t="s">
        <v>15</v>
      </c>
      <c r="C25" s="1" t="s">
        <v>32</v>
      </c>
      <c r="D25" s="1">
        <v>984</v>
      </c>
      <c r="E25" s="1">
        <v>478.37</v>
      </c>
      <c r="F25" s="1">
        <v>32.89</v>
      </c>
      <c r="G25" s="1">
        <v>3</v>
      </c>
      <c r="H25" s="1" t="s">
        <v>24</v>
      </c>
      <c r="I25" s="1" t="s">
        <v>13</v>
      </c>
    </row>
    <row r="26" spans="1:9" x14ac:dyDescent="0.3">
      <c r="A26" s="1" t="s">
        <v>53</v>
      </c>
      <c r="B26" s="1" t="s">
        <v>15</v>
      </c>
      <c r="C26" s="1" t="s">
        <v>11</v>
      </c>
      <c r="D26" s="1">
        <v>1311</v>
      </c>
      <c r="E26" s="1">
        <v>429.02</v>
      </c>
      <c r="F26" s="1">
        <v>10.25</v>
      </c>
      <c r="G26" s="1">
        <v>19</v>
      </c>
      <c r="H26" s="1" t="s">
        <v>12</v>
      </c>
      <c r="I26" s="1" t="s">
        <v>18</v>
      </c>
    </row>
    <row r="27" spans="1:9" x14ac:dyDescent="0.3">
      <c r="A27" s="1" t="s">
        <v>54</v>
      </c>
      <c r="B27" s="1" t="s">
        <v>15</v>
      </c>
      <c r="C27" s="1" t="s">
        <v>20</v>
      </c>
      <c r="D27" s="1">
        <v>4412</v>
      </c>
      <c r="E27" s="1">
        <v>279.07</v>
      </c>
      <c r="F27" s="1">
        <v>28.49</v>
      </c>
      <c r="G27" s="1">
        <v>10</v>
      </c>
      <c r="H27" s="1" t="s">
        <v>17</v>
      </c>
      <c r="I27" s="1" t="s">
        <v>13</v>
      </c>
    </row>
    <row r="28" spans="1:9" x14ac:dyDescent="0.3">
      <c r="A28" s="1" t="s">
        <v>55</v>
      </c>
      <c r="B28" s="1" t="s">
        <v>34</v>
      </c>
      <c r="C28" s="1" t="s">
        <v>16</v>
      </c>
      <c r="D28" s="1">
        <v>2682</v>
      </c>
      <c r="E28" s="1">
        <v>183.6</v>
      </c>
      <c r="F28" s="1">
        <v>13.82</v>
      </c>
      <c r="G28" s="1">
        <v>10</v>
      </c>
      <c r="H28" s="1" t="s">
        <v>17</v>
      </c>
      <c r="I28" s="1" t="s">
        <v>21</v>
      </c>
    </row>
    <row r="29" spans="1:9" x14ac:dyDescent="0.3">
      <c r="A29" s="1" t="s">
        <v>56</v>
      </c>
      <c r="B29" s="1" t="s">
        <v>23</v>
      </c>
      <c r="C29" s="1" t="s">
        <v>40</v>
      </c>
      <c r="D29" s="1">
        <v>2036</v>
      </c>
      <c r="E29" s="1">
        <v>40.840000000000003</v>
      </c>
      <c r="F29" s="1">
        <v>9.73</v>
      </c>
      <c r="G29" s="1">
        <v>23</v>
      </c>
      <c r="H29" s="1" t="s">
        <v>12</v>
      </c>
      <c r="I29" s="1" t="s">
        <v>21</v>
      </c>
    </row>
    <row r="30" spans="1:9" x14ac:dyDescent="0.3">
      <c r="A30" s="1" t="s">
        <v>57</v>
      </c>
      <c r="B30" s="1" t="s">
        <v>23</v>
      </c>
      <c r="C30" s="1" t="s">
        <v>27</v>
      </c>
      <c r="D30" s="1">
        <v>4583</v>
      </c>
      <c r="E30" s="1">
        <v>231.76</v>
      </c>
      <c r="F30" s="1">
        <v>8.2899999999999991</v>
      </c>
      <c r="G30" s="1">
        <v>38</v>
      </c>
      <c r="H30" s="1" t="s">
        <v>12</v>
      </c>
      <c r="I30" s="1" t="s">
        <v>18</v>
      </c>
    </row>
    <row r="31" spans="1:9" x14ac:dyDescent="0.3">
      <c r="A31" s="1" t="s">
        <v>58</v>
      </c>
      <c r="B31" s="1" t="s">
        <v>34</v>
      </c>
      <c r="C31" s="1" t="s">
        <v>11</v>
      </c>
      <c r="D31" s="1">
        <v>2847</v>
      </c>
      <c r="E31" s="1">
        <v>476.86</v>
      </c>
      <c r="F31" s="1">
        <v>29.05</v>
      </c>
      <c r="G31" s="1">
        <v>21</v>
      </c>
      <c r="H31" s="1" t="s">
        <v>12</v>
      </c>
      <c r="I31" s="1" t="s">
        <v>18</v>
      </c>
    </row>
    <row r="32" spans="1:9" x14ac:dyDescent="0.3">
      <c r="A32" s="1" t="s">
        <v>59</v>
      </c>
      <c r="B32" s="1" t="s">
        <v>29</v>
      </c>
      <c r="C32" s="1" t="s">
        <v>11</v>
      </c>
      <c r="D32" s="1">
        <v>3909</v>
      </c>
      <c r="E32" s="1">
        <v>36.19</v>
      </c>
      <c r="F32" s="1">
        <v>17.600000000000001</v>
      </c>
      <c r="G32" s="1">
        <v>28</v>
      </c>
      <c r="H32" s="1" t="s">
        <v>17</v>
      </c>
      <c r="I32" s="1" t="s">
        <v>18</v>
      </c>
    </row>
    <row r="33" spans="1:9" x14ac:dyDescent="0.3">
      <c r="A33" s="1" t="s">
        <v>60</v>
      </c>
      <c r="B33" s="1" t="s">
        <v>15</v>
      </c>
      <c r="C33" s="1" t="s">
        <v>11</v>
      </c>
      <c r="D33" s="1">
        <v>185</v>
      </c>
      <c r="E33" s="1">
        <v>478.64</v>
      </c>
      <c r="F33" s="1">
        <v>8.9499999999999993</v>
      </c>
      <c r="G33" s="1">
        <v>41</v>
      </c>
      <c r="H33" s="1" t="s">
        <v>12</v>
      </c>
      <c r="I33" s="1" t="s">
        <v>13</v>
      </c>
    </row>
    <row r="34" spans="1:9" x14ac:dyDescent="0.3">
      <c r="A34" s="1" t="s">
        <v>61</v>
      </c>
      <c r="B34" s="1" t="s">
        <v>47</v>
      </c>
      <c r="C34" s="1" t="s">
        <v>32</v>
      </c>
      <c r="D34" s="1">
        <v>976</v>
      </c>
      <c r="E34" s="1">
        <v>416.02</v>
      </c>
      <c r="F34" s="1">
        <v>36.200000000000003</v>
      </c>
      <c r="G34" s="1">
        <v>8</v>
      </c>
      <c r="H34" s="1" t="s">
        <v>17</v>
      </c>
      <c r="I34" s="1" t="s">
        <v>21</v>
      </c>
    </row>
    <row r="35" spans="1:9" x14ac:dyDescent="0.3">
      <c r="A35" s="1" t="s">
        <v>62</v>
      </c>
      <c r="B35" s="1" t="s">
        <v>10</v>
      </c>
      <c r="C35" s="1" t="s">
        <v>27</v>
      </c>
      <c r="D35" s="1">
        <v>2771</v>
      </c>
      <c r="E35" s="1">
        <v>199.51</v>
      </c>
      <c r="F35" s="1">
        <v>33.659999999999997</v>
      </c>
      <c r="G35" s="1">
        <v>5</v>
      </c>
      <c r="H35" s="1" t="s">
        <v>17</v>
      </c>
      <c r="I35" s="1" t="s">
        <v>21</v>
      </c>
    </row>
    <row r="36" spans="1:9" x14ac:dyDescent="0.3">
      <c r="A36" s="1" t="s">
        <v>63</v>
      </c>
      <c r="B36" s="1" t="s">
        <v>29</v>
      </c>
      <c r="C36" s="1" t="s">
        <v>20</v>
      </c>
      <c r="D36" s="1">
        <v>2580</v>
      </c>
      <c r="E36" s="1">
        <v>260.58</v>
      </c>
      <c r="F36" s="1">
        <v>11.81</v>
      </c>
      <c r="G36" s="1">
        <v>4</v>
      </c>
      <c r="H36" s="1" t="s">
        <v>17</v>
      </c>
      <c r="I36" s="1" t="s">
        <v>13</v>
      </c>
    </row>
    <row r="37" spans="1:9" x14ac:dyDescent="0.3">
      <c r="A37" s="1" t="s">
        <v>64</v>
      </c>
      <c r="B37" s="1" t="s">
        <v>31</v>
      </c>
      <c r="C37" s="1" t="s">
        <v>42</v>
      </c>
      <c r="D37" s="1">
        <v>230</v>
      </c>
      <c r="E37" s="1">
        <v>187.67</v>
      </c>
      <c r="F37" s="1">
        <v>39.85</v>
      </c>
      <c r="G37" s="1">
        <v>36</v>
      </c>
      <c r="H37" s="1" t="s">
        <v>12</v>
      </c>
      <c r="I37" s="1" t="s">
        <v>13</v>
      </c>
    </row>
    <row r="38" spans="1:9" x14ac:dyDescent="0.3">
      <c r="A38" s="1" t="s">
        <v>65</v>
      </c>
      <c r="B38" s="1" t="s">
        <v>10</v>
      </c>
      <c r="C38" s="1" t="s">
        <v>32</v>
      </c>
      <c r="D38" s="1">
        <v>1565</v>
      </c>
      <c r="E38" s="1">
        <v>325.48</v>
      </c>
      <c r="F38" s="1">
        <v>22.88</v>
      </c>
      <c r="G38" s="1">
        <v>34</v>
      </c>
      <c r="H38" s="1" t="s">
        <v>17</v>
      </c>
      <c r="I38" s="1" t="s">
        <v>13</v>
      </c>
    </row>
    <row r="39" spans="1:9" x14ac:dyDescent="0.3">
      <c r="A39" s="1" t="s">
        <v>66</v>
      </c>
      <c r="B39" s="1" t="s">
        <v>29</v>
      </c>
      <c r="C39" s="1" t="s">
        <v>11</v>
      </c>
      <c r="D39" s="1">
        <v>907</v>
      </c>
      <c r="E39" s="1">
        <v>81.3</v>
      </c>
      <c r="F39" s="1">
        <v>39.32</v>
      </c>
      <c r="G39" s="1">
        <v>39</v>
      </c>
      <c r="H39" s="1" t="s">
        <v>24</v>
      </c>
      <c r="I39" s="1" t="s">
        <v>13</v>
      </c>
    </row>
    <row r="40" spans="1:9" x14ac:dyDescent="0.3">
      <c r="A40" s="1" t="s">
        <v>67</v>
      </c>
      <c r="B40" s="1" t="s">
        <v>23</v>
      </c>
      <c r="C40" s="1" t="s">
        <v>16</v>
      </c>
      <c r="D40" s="1">
        <v>4607</v>
      </c>
      <c r="E40" s="1">
        <v>354.3</v>
      </c>
      <c r="F40" s="1">
        <v>7.8</v>
      </c>
      <c r="G40" s="1">
        <v>33</v>
      </c>
      <c r="H40" s="1" t="s">
        <v>17</v>
      </c>
      <c r="I40" s="1" t="s">
        <v>13</v>
      </c>
    </row>
    <row r="41" spans="1:9" x14ac:dyDescent="0.3">
      <c r="A41" s="1" t="s">
        <v>68</v>
      </c>
      <c r="B41" s="1" t="s">
        <v>15</v>
      </c>
      <c r="C41" s="1" t="s">
        <v>32</v>
      </c>
      <c r="D41" s="1">
        <v>2775</v>
      </c>
      <c r="E41" s="1">
        <v>117.73</v>
      </c>
      <c r="F41" s="1">
        <v>12.67</v>
      </c>
      <c r="G41" s="1">
        <v>15</v>
      </c>
      <c r="H41" s="1" t="s">
        <v>24</v>
      </c>
      <c r="I41" s="1" t="s">
        <v>13</v>
      </c>
    </row>
    <row r="42" spans="1:9" x14ac:dyDescent="0.3">
      <c r="A42" s="1" t="s">
        <v>69</v>
      </c>
      <c r="B42" s="1" t="s">
        <v>31</v>
      </c>
      <c r="C42" s="1" t="s">
        <v>27</v>
      </c>
      <c r="D42" s="1">
        <v>3917</v>
      </c>
      <c r="E42" s="1">
        <v>15.89</v>
      </c>
      <c r="F42" s="1">
        <v>16.350000000000001</v>
      </c>
      <c r="G42" s="1">
        <v>27</v>
      </c>
      <c r="H42" s="1" t="s">
        <v>17</v>
      </c>
      <c r="I42" s="1" t="s">
        <v>18</v>
      </c>
    </row>
    <row r="43" spans="1:9" x14ac:dyDescent="0.3">
      <c r="A43" s="1" t="s">
        <v>70</v>
      </c>
      <c r="B43" s="1" t="s">
        <v>15</v>
      </c>
      <c r="C43" s="1" t="s">
        <v>11</v>
      </c>
      <c r="D43" s="1">
        <v>1622</v>
      </c>
      <c r="E43" s="1">
        <v>341.76</v>
      </c>
      <c r="F43" s="1">
        <v>12.05</v>
      </c>
      <c r="G43" s="1">
        <v>42</v>
      </c>
      <c r="H43" s="1" t="s">
        <v>24</v>
      </c>
      <c r="I43" s="1" t="s">
        <v>13</v>
      </c>
    </row>
    <row r="44" spans="1:9" x14ac:dyDescent="0.3">
      <c r="A44" s="1" t="s">
        <v>71</v>
      </c>
      <c r="B44" s="1" t="s">
        <v>23</v>
      </c>
      <c r="C44" s="1" t="s">
        <v>16</v>
      </c>
      <c r="D44" s="1">
        <v>293</v>
      </c>
      <c r="E44" s="1">
        <v>423.82</v>
      </c>
      <c r="F44" s="1">
        <v>29.91</v>
      </c>
      <c r="G44" s="1">
        <v>50</v>
      </c>
      <c r="H44" s="1" t="s">
        <v>12</v>
      </c>
      <c r="I44" s="1" t="s">
        <v>13</v>
      </c>
    </row>
    <row r="45" spans="1:9" x14ac:dyDescent="0.3">
      <c r="A45" s="1" t="s">
        <v>72</v>
      </c>
      <c r="B45" s="1" t="s">
        <v>23</v>
      </c>
      <c r="C45" s="1" t="s">
        <v>40</v>
      </c>
      <c r="D45" s="1">
        <v>4918</v>
      </c>
      <c r="E45" s="1">
        <v>285.92</v>
      </c>
      <c r="F45" s="1">
        <v>32.369999999999997</v>
      </c>
      <c r="G45" s="1">
        <v>21</v>
      </c>
      <c r="H45" s="1" t="s">
        <v>17</v>
      </c>
      <c r="I45" s="1" t="s">
        <v>21</v>
      </c>
    </row>
    <row r="46" spans="1:9" x14ac:dyDescent="0.3">
      <c r="A46" s="1" t="s">
        <v>73</v>
      </c>
      <c r="B46" s="1" t="s">
        <v>23</v>
      </c>
      <c r="C46" s="1" t="s">
        <v>42</v>
      </c>
      <c r="D46" s="1">
        <v>3950</v>
      </c>
      <c r="E46" s="1">
        <v>339.84</v>
      </c>
      <c r="F46" s="1">
        <v>29.33</v>
      </c>
      <c r="G46" s="1">
        <v>9</v>
      </c>
      <c r="H46" s="1" t="s">
        <v>12</v>
      </c>
      <c r="I46" s="1" t="s">
        <v>13</v>
      </c>
    </row>
    <row r="47" spans="1:9" x14ac:dyDescent="0.3">
      <c r="A47" s="1" t="s">
        <v>74</v>
      </c>
      <c r="B47" s="1" t="s">
        <v>23</v>
      </c>
      <c r="C47" s="1" t="s">
        <v>16</v>
      </c>
      <c r="D47" s="1">
        <v>1723</v>
      </c>
      <c r="E47" s="1">
        <v>272.36</v>
      </c>
      <c r="F47" s="1">
        <v>19.91</v>
      </c>
      <c r="G47" s="1">
        <v>12</v>
      </c>
      <c r="H47" s="1" t="s">
        <v>12</v>
      </c>
      <c r="I47" s="1" t="s">
        <v>21</v>
      </c>
    </row>
    <row r="48" spans="1:9" x14ac:dyDescent="0.3">
      <c r="A48" s="1" t="s">
        <v>75</v>
      </c>
      <c r="B48" s="1" t="s">
        <v>15</v>
      </c>
      <c r="C48" s="1" t="s">
        <v>40</v>
      </c>
      <c r="D48" s="1">
        <v>4076</v>
      </c>
      <c r="E48" s="1">
        <v>425.31</v>
      </c>
      <c r="F48" s="1">
        <v>13.85</v>
      </c>
      <c r="G48" s="1">
        <v>34</v>
      </c>
      <c r="H48" s="1" t="s">
        <v>24</v>
      </c>
      <c r="I48" s="1" t="s">
        <v>21</v>
      </c>
    </row>
    <row r="49" spans="1:9" x14ac:dyDescent="0.3">
      <c r="A49" s="1" t="s">
        <v>76</v>
      </c>
      <c r="B49" s="1" t="s">
        <v>31</v>
      </c>
      <c r="C49" s="1" t="s">
        <v>32</v>
      </c>
      <c r="D49" s="1">
        <v>1025</v>
      </c>
      <c r="E49" s="1">
        <v>222.45</v>
      </c>
      <c r="F49" s="1">
        <v>27.46</v>
      </c>
      <c r="G49" s="1">
        <v>28</v>
      </c>
      <c r="H49" s="1" t="s">
        <v>17</v>
      </c>
      <c r="I49" s="1" t="s">
        <v>18</v>
      </c>
    </row>
    <row r="50" spans="1:9" x14ac:dyDescent="0.3">
      <c r="A50" s="1" t="s">
        <v>77</v>
      </c>
      <c r="B50" s="1" t="s">
        <v>10</v>
      </c>
      <c r="C50" s="1" t="s">
        <v>40</v>
      </c>
      <c r="D50" s="1">
        <v>457</v>
      </c>
      <c r="E50" s="1">
        <v>96.48</v>
      </c>
      <c r="F50" s="1">
        <v>21.56</v>
      </c>
      <c r="G50" s="1">
        <v>15</v>
      </c>
      <c r="H50" s="1" t="s">
        <v>17</v>
      </c>
      <c r="I50" s="1" t="s">
        <v>18</v>
      </c>
    </row>
    <row r="51" spans="1:9" x14ac:dyDescent="0.3">
      <c r="A51" s="1" t="s">
        <v>78</v>
      </c>
      <c r="B51" s="1" t="s">
        <v>15</v>
      </c>
      <c r="C51" s="1" t="s">
        <v>16</v>
      </c>
      <c r="D51" s="1">
        <v>663</v>
      </c>
      <c r="E51" s="1">
        <v>255.3</v>
      </c>
      <c r="F51" s="1">
        <v>7.67</v>
      </c>
      <c r="G51" s="1">
        <v>29</v>
      </c>
      <c r="H51" s="1" t="s">
        <v>17</v>
      </c>
      <c r="I51" s="1" t="s">
        <v>13</v>
      </c>
    </row>
    <row r="52" spans="1:9" x14ac:dyDescent="0.3">
      <c r="A52" s="1" t="s">
        <v>79</v>
      </c>
      <c r="B52" s="1" t="s">
        <v>34</v>
      </c>
      <c r="C52" s="1" t="s">
        <v>27</v>
      </c>
      <c r="D52" s="1">
        <v>1773</v>
      </c>
      <c r="E52" s="1">
        <v>364.26</v>
      </c>
      <c r="F52" s="1">
        <v>15.87</v>
      </c>
      <c r="G52" s="1">
        <v>46</v>
      </c>
      <c r="H52" s="1" t="s">
        <v>12</v>
      </c>
      <c r="I52" s="1" t="s">
        <v>21</v>
      </c>
    </row>
    <row r="53" spans="1:9" x14ac:dyDescent="0.3">
      <c r="A53" s="1" t="s">
        <v>80</v>
      </c>
      <c r="B53" s="1" t="s">
        <v>10</v>
      </c>
      <c r="C53" s="1" t="s">
        <v>40</v>
      </c>
      <c r="D53" s="1">
        <v>2827</v>
      </c>
      <c r="E53" s="1">
        <v>393.89</v>
      </c>
      <c r="F53" s="1">
        <v>20.49</v>
      </c>
      <c r="G53" s="1">
        <v>50</v>
      </c>
      <c r="H53" s="1" t="s">
        <v>17</v>
      </c>
      <c r="I53" s="1" t="s">
        <v>13</v>
      </c>
    </row>
    <row r="54" spans="1:9" x14ac:dyDescent="0.3">
      <c r="A54" s="1" t="s">
        <v>81</v>
      </c>
      <c r="B54" s="1" t="s">
        <v>15</v>
      </c>
      <c r="C54" s="1" t="s">
        <v>20</v>
      </c>
      <c r="D54" s="1">
        <v>4602</v>
      </c>
      <c r="E54" s="1">
        <v>217.07</v>
      </c>
      <c r="F54" s="1">
        <v>35.090000000000003</v>
      </c>
      <c r="G54" s="1">
        <v>6</v>
      </c>
      <c r="H54" s="1" t="s">
        <v>17</v>
      </c>
      <c r="I54" s="1" t="s">
        <v>21</v>
      </c>
    </row>
    <row r="55" spans="1:9" x14ac:dyDescent="0.3">
      <c r="A55" s="1" t="s">
        <v>82</v>
      </c>
      <c r="B55" s="1" t="s">
        <v>10</v>
      </c>
      <c r="C55" s="1" t="s">
        <v>16</v>
      </c>
      <c r="D55" s="1">
        <v>1527</v>
      </c>
      <c r="E55" s="1">
        <v>471.87</v>
      </c>
      <c r="F55" s="1">
        <v>32.26</v>
      </c>
      <c r="G55" s="1">
        <v>24</v>
      </c>
      <c r="H55" s="1" t="s">
        <v>17</v>
      </c>
      <c r="I55" s="1" t="s">
        <v>13</v>
      </c>
    </row>
    <row r="56" spans="1:9" x14ac:dyDescent="0.3">
      <c r="A56" s="1" t="s">
        <v>83</v>
      </c>
      <c r="B56" s="1" t="s">
        <v>23</v>
      </c>
      <c r="C56" s="1" t="s">
        <v>42</v>
      </c>
      <c r="D56" s="1">
        <v>291</v>
      </c>
      <c r="E56" s="1">
        <v>404.52</v>
      </c>
      <c r="F56" s="1">
        <v>27.08</v>
      </c>
      <c r="G56" s="1">
        <v>11</v>
      </c>
      <c r="H56" s="1" t="s">
        <v>12</v>
      </c>
      <c r="I56" s="1" t="s">
        <v>13</v>
      </c>
    </row>
    <row r="57" spans="1:9" x14ac:dyDescent="0.3">
      <c r="A57" s="1" t="s">
        <v>84</v>
      </c>
      <c r="B57" s="1" t="s">
        <v>23</v>
      </c>
      <c r="C57" s="1" t="s">
        <v>27</v>
      </c>
      <c r="D57" s="1">
        <v>255</v>
      </c>
      <c r="E57" s="1">
        <v>433.48</v>
      </c>
      <c r="F57" s="1">
        <v>33.89</v>
      </c>
      <c r="G57" s="1">
        <v>41</v>
      </c>
      <c r="H57" s="1" t="s">
        <v>24</v>
      </c>
      <c r="I57" s="1" t="s">
        <v>21</v>
      </c>
    </row>
    <row r="58" spans="1:9" x14ac:dyDescent="0.3">
      <c r="A58" s="1" t="s">
        <v>85</v>
      </c>
      <c r="B58" s="1" t="s">
        <v>31</v>
      </c>
      <c r="C58" s="1" t="s">
        <v>32</v>
      </c>
      <c r="D58" s="1">
        <v>277</v>
      </c>
      <c r="E58" s="1">
        <v>189.75</v>
      </c>
      <c r="F58" s="1">
        <v>33.82</v>
      </c>
      <c r="G58" s="1">
        <v>49</v>
      </c>
      <c r="H58" s="1" t="s">
        <v>17</v>
      </c>
      <c r="I58" s="1" t="s">
        <v>18</v>
      </c>
    </row>
    <row r="59" spans="1:9" x14ac:dyDescent="0.3">
      <c r="A59" s="1" t="s">
        <v>86</v>
      </c>
      <c r="B59" s="1" t="s">
        <v>23</v>
      </c>
      <c r="C59" s="1" t="s">
        <v>16</v>
      </c>
      <c r="D59" s="1">
        <v>3582</v>
      </c>
      <c r="E59" s="1">
        <v>445.12</v>
      </c>
      <c r="F59" s="1">
        <v>16.079999999999998</v>
      </c>
      <c r="G59" s="1">
        <v>29</v>
      </c>
      <c r="H59" s="1" t="s">
        <v>12</v>
      </c>
      <c r="I59" s="1" t="s">
        <v>18</v>
      </c>
    </row>
    <row r="60" spans="1:9" x14ac:dyDescent="0.3">
      <c r="A60" s="1" t="s">
        <v>87</v>
      </c>
      <c r="B60" s="1" t="s">
        <v>29</v>
      </c>
      <c r="C60" s="1" t="s">
        <v>27</v>
      </c>
      <c r="D60" s="1">
        <v>2583</v>
      </c>
      <c r="E60" s="1">
        <v>112.29</v>
      </c>
      <c r="F60" s="1">
        <v>32.46</v>
      </c>
      <c r="G60" s="1">
        <v>48</v>
      </c>
      <c r="H60" s="1" t="s">
        <v>24</v>
      </c>
      <c r="I60" s="1" t="s">
        <v>18</v>
      </c>
    </row>
    <row r="61" spans="1:9" x14ac:dyDescent="0.3">
      <c r="A61" s="1" t="s">
        <v>88</v>
      </c>
      <c r="B61" s="1" t="s">
        <v>10</v>
      </c>
      <c r="C61" s="1" t="s">
        <v>16</v>
      </c>
      <c r="D61" s="1">
        <v>2800</v>
      </c>
      <c r="E61" s="1">
        <v>246</v>
      </c>
      <c r="F61" s="1">
        <v>31.27</v>
      </c>
      <c r="G61" s="1">
        <v>9</v>
      </c>
      <c r="H61" s="1" t="s">
        <v>17</v>
      </c>
      <c r="I61" s="1" t="s">
        <v>18</v>
      </c>
    </row>
    <row r="62" spans="1:9" x14ac:dyDescent="0.3">
      <c r="A62" s="1" t="s">
        <v>89</v>
      </c>
      <c r="B62" s="1" t="s">
        <v>29</v>
      </c>
      <c r="C62" s="1" t="s">
        <v>27</v>
      </c>
      <c r="D62" s="1">
        <v>3546</v>
      </c>
      <c r="E62" s="1">
        <v>405.46</v>
      </c>
      <c r="F62" s="1">
        <v>11.84</v>
      </c>
      <c r="G62" s="1">
        <v>42</v>
      </c>
      <c r="H62" s="1" t="s">
        <v>17</v>
      </c>
      <c r="I62" s="1" t="s">
        <v>21</v>
      </c>
    </row>
    <row r="63" spans="1:9" x14ac:dyDescent="0.3">
      <c r="A63" s="1" t="s">
        <v>90</v>
      </c>
      <c r="B63" s="1" t="s">
        <v>10</v>
      </c>
      <c r="C63" s="1" t="s">
        <v>42</v>
      </c>
      <c r="D63" s="1">
        <v>738</v>
      </c>
      <c r="E63" s="1">
        <v>474.96</v>
      </c>
      <c r="F63" s="1">
        <v>24.6</v>
      </c>
      <c r="G63" s="1">
        <v>30</v>
      </c>
      <c r="H63" s="1" t="s">
        <v>17</v>
      </c>
      <c r="I63" s="1" t="s">
        <v>18</v>
      </c>
    </row>
    <row r="64" spans="1:9" x14ac:dyDescent="0.3">
      <c r="A64" s="1" t="s">
        <v>91</v>
      </c>
      <c r="B64" s="1" t="s">
        <v>47</v>
      </c>
      <c r="C64" s="1" t="s">
        <v>11</v>
      </c>
      <c r="D64" s="1">
        <v>3959</v>
      </c>
      <c r="E64" s="1">
        <v>39.07</v>
      </c>
      <c r="F64" s="1">
        <v>20.91</v>
      </c>
      <c r="G64" s="1">
        <v>6</v>
      </c>
      <c r="H64" s="1" t="s">
        <v>12</v>
      </c>
      <c r="I64" s="1" t="s">
        <v>18</v>
      </c>
    </row>
    <row r="65" spans="1:9" x14ac:dyDescent="0.3">
      <c r="A65" s="1" t="s">
        <v>92</v>
      </c>
      <c r="B65" s="1" t="s">
        <v>29</v>
      </c>
      <c r="C65" s="1" t="s">
        <v>11</v>
      </c>
      <c r="D65" s="1">
        <v>749</v>
      </c>
      <c r="E65" s="1">
        <v>84.67</v>
      </c>
      <c r="F65" s="1">
        <v>17.37</v>
      </c>
      <c r="G65" s="1">
        <v>17</v>
      </c>
      <c r="H65" s="1" t="s">
        <v>24</v>
      </c>
      <c r="I65" s="1" t="s">
        <v>21</v>
      </c>
    </row>
    <row r="66" spans="1:9" x14ac:dyDescent="0.3">
      <c r="A66" s="1" t="s">
        <v>93</v>
      </c>
      <c r="B66" s="1" t="s">
        <v>23</v>
      </c>
      <c r="C66" s="1" t="s">
        <v>27</v>
      </c>
      <c r="D66" s="1">
        <v>1086</v>
      </c>
      <c r="E66" s="1">
        <v>263.75</v>
      </c>
      <c r="F66" s="1">
        <v>25.37</v>
      </c>
      <c r="G66" s="1">
        <v>3</v>
      </c>
      <c r="H66" s="1" t="s">
        <v>24</v>
      </c>
      <c r="I66" s="1" t="s">
        <v>13</v>
      </c>
    </row>
    <row r="67" spans="1:9" x14ac:dyDescent="0.3">
      <c r="A67" s="1" t="s">
        <v>94</v>
      </c>
      <c r="B67" s="1" t="s">
        <v>10</v>
      </c>
      <c r="C67" s="1" t="s">
        <v>16</v>
      </c>
      <c r="D67" s="1">
        <v>4011</v>
      </c>
      <c r="E67" s="1">
        <v>26.02</v>
      </c>
      <c r="F67" s="1">
        <v>27.3</v>
      </c>
      <c r="G67" s="1">
        <v>24</v>
      </c>
      <c r="H67" s="1" t="s">
        <v>17</v>
      </c>
      <c r="I67" s="1" t="s">
        <v>21</v>
      </c>
    </row>
    <row r="68" spans="1:9" x14ac:dyDescent="0.3">
      <c r="A68" s="1" t="s">
        <v>95</v>
      </c>
      <c r="B68" s="1" t="s">
        <v>15</v>
      </c>
      <c r="C68" s="1" t="s">
        <v>11</v>
      </c>
      <c r="D68" s="1">
        <v>1092</v>
      </c>
      <c r="E68" s="1">
        <v>89.77</v>
      </c>
      <c r="F68" s="1">
        <v>19.440000000000001</v>
      </c>
      <c r="G68" s="1">
        <v>4</v>
      </c>
      <c r="H68" s="1" t="s">
        <v>24</v>
      </c>
      <c r="I68" s="1" t="s">
        <v>13</v>
      </c>
    </row>
    <row r="69" spans="1:9" x14ac:dyDescent="0.3">
      <c r="A69" s="1" t="s">
        <v>96</v>
      </c>
      <c r="B69" s="1" t="s">
        <v>31</v>
      </c>
      <c r="C69" s="1" t="s">
        <v>16</v>
      </c>
      <c r="D69" s="1">
        <v>3230</v>
      </c>
      <c r="E69" s="1">
        <v>232.34</v>
      </c>
      <c r="F69" s="1">
        <v>18.5</v>
      </c>
      <c r="G69" s="1">
        <v>38</v>
      </c>
      <c r="H69" s="1" t="s">
        <v>12</v>
      </c>
      <c r="I69" s="1" t="s">
        <v>13</v>
      </c>
    </row>
    <row r="70" spans="1:9" x14ac:dyDescent="0.3">
      <c r="A70" s="1" t="s">
        <v>97</v>
      </c>
      <c r="B70" s="1" t="s">
        <v>47</v>
      </c>
      <c r="C70" s="1" t="s">
        <v>40</v>
      </c>
      <c r="D70" s="1">
        <v>2323</v>
      </c>
      <c r="E70" s="1">
        <v>428.11</v>
      </c>
      <c r="F70" s="1">
        <v>31.65</v>
      </c>
      <c r="G70" s="1">
        <v>28</v>
      </c>
      <c r="H70" s="1" t="s">
        <v>12</v>
      </c>
      <c r="I70" s="1" t="s">
        <v>13</v>
      </c>
    </row>
    <row r="71" spans="1:9" x14ac:dyDescent="0.3">
      <c r="A71" s="1" t="s">
        <v>98</v>
      </c>
      <c r="B71" s="1" t="s">
        <v>29</v>
      </c>
      <c r="C71" s="1" t="s">
        <v>40</v>
      </c>
      <c r="D71" s="1">
        <v>1847</v>
      </c>
      <c r="E71" s="1">
        <v>420.52</v>
      </c>
      <c r="F71" s="1">
        <v>13.85</v>
      </c>
      <c r="G71" s="1">
        <v>27</v>
      </c>
      <c r="H71" s="1" t="s">
        <v>12</v>
      </c>
      <c r="I71" s="1" t="s">
        <v>21</v>
      </c>
    </row>
    <row r="72" spans="1:9" x14ac:dyDescent="0.3">
      <c r="A72" s="1" t="s">
        <v>99</v>
      </c>
      <c r="B72" s="1" t="s">
        <v>23</v>
      </c>
      <c r="C72" s="1" t="s">
        <v>16</v>
      </c>
      <c r="D72" s="1">
        <v>4456</v>
      </c>
      <c r="E72" s="1">
        <v>195.81</v>
      </c>
      <c r="F72" s="1">
        <v>20.399999999999999</v>
      </c>
      <c r="G72" s="1">
        <v>24</v>
      </c>
      <c r="H72" s="1" t="s">
        <v>12</v>
      </c>
      <c r="I72" s="1" t="s">
        <v>18</v>
      </c>
    </row>
    <row r="73" spans="1:9" x14ac:dyDescent="0.3">
      <c r="A73" s="1" t="s">
        <v>100</v>
      </c>
      <c r="B73" s="1" t="s">
        <v>31</v>
      </c>
      <c r="C73" s="1" t="s">
        <v>20</v>
      </c>
      <c r="D73" s="1">
        <v>1471</v>
      </c>
      <c r="E73" s="1">
        <v>401.78</v>
      </c>
      <c r="F73" s="1">
        <v>19.239999999999998</v>
      </c>
      <c r="G73" s="1">
        <v>33</v>
      </c>
      <c r="H73" s="1" t="s">
        <v>24</v>
      </c>
      <c r="I73" s="1" t="s">
        <v>21</v>
      </c>
    </row>
    <row r="74" spans="1:9" x14ac:dyDescent="0.3">
      <c r="A74" s="1" t="s">
        <v>101</v>
      </c>
      <c r="B74" s="1" t="s">
        <v>31</v>
      </c>
      <c r="C74" s="1" t="s">
        <v>32</v>
      </c>
      <c r="D74" s="1">
        <v>3706</v>
      </c>
      <c r="E74" s="1">
        <v>212.99</v>
      </c>
      <c r="F74" s="1">
        <v>35.979999999999997</v>
      </c>
      <c r="G74" s="1">
        <v>39</v>
      </c>
      <c r="H74" s="1" t="s">
        <v>12</v>
      </c>
      <c r="I74" s="1" t="s">
        <v>13</v>
      </c>
    </row>
    <row r="75" spans="1:9" x14ac:dyDescent="0.3">
      <c r="A75" s="1" t="s">
        <v>102</v>
      </c>
      <c r="B75" s="1" t="s">
        <v>10</v>
      </c>
      <c r="C75" s="1" t="s">
        <v>11</v>
      </c>
      <c r="D75" s="1">
        <v>200</v>
      </c>
      <c r="E75" s="1">
        <v>44.72</v>
      </c>
      <c r="F75" s="1">
        <v>16.239999999999998</v>
      </c>
      <c r="G75" s="1">
        <v>43</v>
      </c>
      <c r="H75" s="1" t="s">
        <v>12</v>
      </c>
      <c r="I75" s="1" t="s">
        <v>18</v>
      </c>
    </row>
    <row r="76" spans="1:9" x14ac:dyDescent="0.3">
      <c r="A76" s="1" t="s">
        <v>103</v>
      </c>
      <c r="B76" s="1" t="s">
        <v>29</v>
      </c>
      <c r="C76" s="1" t="s">
        <v>32</v>
      </c>
      <c r="D76" s="1">
        <v>372</v>
      </c>
      <c r="E76" s="1">
        <v>401.74</v>
      </c>
      <c r="F76" s="1">
        <v>28.24</v>
      </c>
      <c r="G76" s="1">
        <v>27</v>
      </c>
      <c r="H76" s="1" t="s">
        <v>12</v>
      </c>
      <c r="I76" s="1" t="s">
        <v>18</v>
      </c>
    </row>
    <row r="77" spans="1:9" x14ac:dyDescent="0.3">
      <c r="A77" s="1" t="s">
        <v>104</v>
      </c>
      <c r="B77" s="1" t="s">
        <v>15</v>
      </c>
      <c r="C77" s="1" t="s">
        <v>27</v>
      </c>
      <c r="D77" s="1">
        <v>91</v>
      </c>
      <c r="E77" s="1">
        <v>127.15</v>
      </c>
      <c r="F77" s="1">
        <v>27.59</v>
      </c>
      <c r="G77" s="1">
        <v>47</v>
      </c>
      <c r="H77" s="1" t="s">
        <v>12</v>
      </c>
      <c r="I77" s="1" t="s">
        <v>18</v>
      </c>
    </row>
    <row r="78" spans="1:9" x14ac:dyDescent="0.3">
      <c r="A78" s="1" t="s">
        <v>105</v>
      </c>
      <c r="B78" s="1" t="s">
        <v>34</v>
      </c>
      <c r="C78" s="1" t="s">
        <v>16</v>
      </c>
      <c r="D78" s="1">
        <v>2066</v>
      </c>
      <c r="E78" s="1">
        <v>399.66</v>
      </c>
      <c r="F78" s="1">
        <v>16.86</v>
      </c>
      <c r="G78" s="1">
        <v>46</v>
      </c>
      <c r="H78" s="1" t="s">
        <v>12</v>
      </c>
      <c r="I78" s="1" t="s">
        <v>21</v>
      </c>
    </row>
    <row r="79" spans="1:9" x14ac:dyDescent="0.3">
      <c r="A79" s="1" t="s">
        <v>106</v>
      </c>
      <c r="B79" s="1" t="s">
        <v>31</v>
      </c>
      <c r="C79" s="1" t="s">
        <v>27</v>
      </c>
      <c r="D79" s="1">
        <v>4715</v>
      </c>
      <c r="E79" s="1">
        <v>98.63</v>
      </c>
      <c r="F79" s="1">
        <v>39.35</v>
      </c>
      <c r="G79" s="1">
        <v>21</v>
      </c>
      <c r="H79" s="1" t="s">
        <v>17</v>
      </c>
      <c r="I79" s="1" t="s">
        <v>13</v>
      </c>
    </row>
    <row r="80" spans="1:9" x14ac:dyDescent="0.3">
      <c r="A80" s="1" t="s">
        <v>107</v>
      </c>
      <c r="B80" s="1" t="s">
        <v>29</v>
      </c>
      <c r="C80" s="1" t="s">
        <v>27</v>
      </c>
      <c r="D80" s="1">
        <v>4395</v>
      </c>
      <c r="E80" s="1">
        <v>156.91999999999999</v>
      </c>
      <c r="F80" s="1">
        <v>12.9</v>
      </c>
      <c r="G80" s="1">
        <v>4</v>
      </c>
      <c r="H80" s="1" t="s">
        <v>17</v>
      </c>
      <c r="I80" s="1" t="s">
        <v>21</v>
      </c>
    </row>
    <row r="81" spans="1:9" x14ac:dyDescent="0.3">
      <c r="A81" s="1" t="s">
        <v>108</v>
      </c>
      <c r="B81" s="1" t="s">
        <v>10</v>
      </c>
      <c r="C81" s="1" t="s">
        <v>42</v>
      </c>
      <c r="D81" s="1">
        <v>4994</v>
      </c>
      <c r="E81" s="1">
        <v>427.09</v>
      </c>
      <c r="F81" s="1">
        <v>9.56</v>
      </c>
      <c r="G81" s="1">
        <v>39</v>
      </c>
      <c r="H81" s="1" t="s">
        <v>17</v>
      </c>
      <c r="I81" s="1" t="s">
        <v>13</v>
      </c>
    </row>
    <row r="82" spans="1:9" x14ac:dyDescent="0.3">
      <c r="A82" s="1" t="s">
        <v>109</v>
      </c>
      <c r="B82" s="1" t="s">
        <v>29</v>
      </c>
      <c r="C82" s="1" t="s">
        <v>42</v>
      </c>
      <c r="D82" s="1">
        <v>1299</v>
      </c>
      <c r="E82" s="1">
        <v>230.76</v>
      </c>
      <c r="F82" s="1">
        <v>23.64</v>
      </c>
      <c r="G82" s="1">
        <v>36</v>
      </c>
      <c r="H82" s="1" t="s">
        <v>24</v>
      </c>
      <c r="I82" s="1" t="s">
        <v>18</v>
      </c>
    </row>
    <row r="83" spans="1:9" x14ac:dyDescent="0.3">
      <c r="A83" s="1" t="s">
        <v>110</v>
      </c>
      <c r="B83" s="1" t="s">
        <v>31</v>
      </c>
      <c r="C83" s="1" t="s">
        <v>27</v>
      </c>
      <c r="D83" s="1">
        <v>3294</v>
      </c>
      <c r="E83" s="1">
        <v>310.38</v>
      </c>
      <c r="F83" s="1">
        <v>33.94</v>
      </c>
      <c r="G83" s="1">
        <v>40</v>
      </c>
      <c r="H83" s="1" t="s">
        <v>12</v>
      </c>
      <c r="I83" s="1" t="s">
        <v>18</v>
      </c>
    </row>
    <row r="84" spans="1:9" x14ac:dyDescent="0.3">
      <c r="A84" s="1" t="s">
        <v>111</v>
      </c>
      <c r="B84" s="1" t="s">
        <v>15</v>
      </c>
      <c r="C84" s="1" t="s">
        <v>16</v>
      </c>
      <c r="D84" s="1">
        <v>586</v>
      </c>
      <c r="E84" s="1">
        <v>14.23</v>
      </c>
      <c r="F84" s="1">
        <v>17.45</v>
      </c>
      <c r="G84" s="1">
        <v>8</v>
      </c>
      <c r="H84" s="1" t="s">
        <v>24</v>
      </c>
      <c r="I84" s="1" t="s">
        <v>18</v>
      </c>
    </row>
    <row r="85" spans="1:9" x14ac:dyDescent="0.3">
      <c r="A85" s="1" t="s">
        <v>112</v>
      </c>
      <c r="B85" s="1" t="s">
        <v>34</v>
      </c>
      <c r="C85" s="1" t="s">
        <v>27</v>
      </c>
      <c r="D85" s="1">
        <v>704</v>
      </c>
      <c r="E85" s="1">
        <v>93.09</v>
      </c>
      <c r="F85" s="1">
        <v>39.26</v>
      </c>
      <c r="G85" s="1">
        <v>2</v>
      </c>
      <c r="H85" s="1" t="s">
        <v>12</v>
      </c>
      <c r="I85" s="1" t="s">
        <v>18</v>
      </c>
    </row>
    <row r="86" spans="1:9" x14ac:dyDescent="0.3">
      <c r="A86" s="1" t="s">
        <v>113</v>
      </c>
      <c r="B86" s="1" t="s">
        <v>34</v>
      </c>
      <c r="C86" s="1" t="s">
        <v>20</v>
      </c>
      <c r="D86" s="1">
        <v>67</v>
      </c>
      <c r="E86" s="1">
        <v>53.65</v>
      </c>
      <c r="F86" s="1">
        <v>35.64</v>
      </c>
      <c r="G86" s="1">
        <v>39</v>
      </c>
      <c r="H86" s="1" t="s">
        <v>12</v>
      </c>
      <c r="I86" s="1" t="s">
        <v>13</v>
      </c>
    </row>
    <row r="87" spans="1:9" x14ac:dyDescent="0.3">
      <c r="A87" s="1" t="s">
        <v>114</v>
      </c>
      <c r="B87" s="1" t="s">
        <v>47</v>
      </c>
      <c r="C87" s="1" t="s">
        <v>11</v>
      </c>
      <c r="D87" s="1">
        <v>4317</v>
      </c>
      <c r="E87" s="1">
        <v>293.33999999999997</v>
      </c>
      <c r="F87" s="1">
        <v>34.76</v>
      </c>
      <c r="G87" s="1">
        <v>2</v>
      </c>
      <c r="H87" s="1" t="s">
        <v>24</v>
      </c>
      <c r="I87" s="1" t="s">
        <v>18</v>
      </c>
    </row>
    <row r="88" spans="1:9" x14ac:dyDescent="0.3">
      <c r="A88" s="1" t="s">
        <v>115</v>
      </c>
      <c r="B88" s="1" t="s">
        <v>10</v>
      </c>
      <c r="C88" s="1" t="s">
        <v>20</v>
      </c>
      <c r="D88" s="1">
        <v>498</v>
      </c>
      <c r="E88" s="1">
        <v>17.93</v>
      </c>
      <c r="F88" s="1">
        <v>17</v>
      </c>
      <c r="G88" s="1">
        <v>29</v>
      </c>
      <c r="H88" s="1" t="s">
        <v>24</v>
      </c>
      <c r="I88" s="1" t="s">
        <v>21</v>
      </c>
    </row>
    <row r="89" spans="1:9" x14ac:dyDescent="0.3">
      <c r="A89" s="1" t="s">
        <v>116</v>
      </c>
      <c r="B89" s="1" t="s">
        <v>31</v>
      </c>
      <c r="C89" s="1" t="s">
        <v>42</v>
      </c>
      <c r="D89" s="1">
        <v>2961</v>
      </c>
      <c r="E89" s="1">
        <v>435.77</v>
      </c>
      <c r="F89" s="1">
        <v>13.66</v>
      </c>
      <c r="G89" s="1">
        <v>49</v>
      </c>
      <c r="H89" s="1" t="s">
        <v>24</v>
      </c>
      <c r="I89" s="1" t="s">
        <v>21</v>
      </c>
    </row>
    <row r="90" spans="1:9" x14ac:dyDescent="0.3">
      <c r="A90" s="1" t="s">
        <v>117</v>
      </c>
      <c r="B90" s="1" t="s">
        <v>31</v>
      </c>
      <c r="C90" s="1" t="s">
        <v>27</v>
      </c>
      <c r="D90" s="1">
        <v>2516</v>
      </c>
      <c r="E90" s="1">
        <v>92.27</v>
      </c>
      <c r="F90" s="1">
        <v>7.93</v>
      </c>
      <c r="G90" s="1">
        <v>28</v>
      </c>
      <c r="H90" s="1" t="s">
        <v>12</v>
      </c>
      <c r="I90" s="1" t="s">
        <v>13</v>
      </c>
    </row>
    <row r="91" spans="1:9" x14ac:dyDescent="0.3">
      <c r="A91" s="1" t="s">
        <v>118</v>
      </c>
      <c r="B91" s="1" t="s">
        <v>34</v>
      </c>
      <c r="C91" s="1" t="s">
        <v>32</v>
      </c>
      <c r="D91" s="1">
        <v>4577</v>
      </c>
      <c r="E91" s="1">
        <v>355.62</v>
      </c>
      <c r="F91" s="1">
        <v>34.94</v>
      </c>
      <c r="G91" s="1">
        <v>9</v>
      </c>
      <c r="H91" s="1" t="s">
        <v>24</v>
      </c>
      <c r="I91" s="1" t="s">
        <v>21</v>
      </c>
    </row>
    <row r="92" spans="1:9" x14ac:dyDescent="0.3">
      <c r="A92" s="1" t="s">
        <v>119</v>
      </c>
      <c r="B92" s="1" t="s">
        <v>15</v>
      </c>
      <c r="C92" s="1" t="s">
        <v>32</v>
      </c>
      <c r="D92" s="1">
        <v>2182</v>
      </c>
      <c r="E92" s="1">
        <v>309.74</v>
      </c>
      <c r="F92" s="1">
        <v>9.7100000000000009</v>
      </c>
      <c r="G92" s="1">
        <v>19</v>
      </c>
      <c r="H92" s="1" t="s">
        <v>24</v>
      </c>
      <c r="I92" s="1" t="s">
        <v>18</v>
      </c>
    </row>
    <row r="93" spans="1:9" x14ac:dyDescent="0.3">
      <c r="A93" s="1" t="s">
        <v>120</v>
      </c>
      <c r="B93" s="1" t="s">
        <v>31</v>
      </c>
      <c r="C93" s="1" t="s">
        <v>40</v>
      </c>
      <c r="D93" s="1">
        <v>1510</v>
      </c>
      <c r="E93" s="1">
        <v>57.2</v>
      </c>
      <c r="F93" s="1">
        <v>36.24</v>
      </c>
      <c r="G93" s="1">
        <v>35</v>
      </c>
      <c r="H93" s="1" t="s">
        <v>12</v>
      </c>
      <c r="I93" s="1" t="s">
        <v>18</v>
      </c>
    </row>
    <row r="94" spans="1:9" x14ac:dyDescent="0.3">
      <c r="A94" s="1" t="s">
        <v>121</v>
      </c>
      <c r="B94" s="1" t="s">
        <v>47</v>
      </c>
      <c r="C94" s="1" t="s">
        <v>40</v>
      </c>
      <c r="D94" s="1">
        <v>435</v>
      </c>
      <c r="E94" s="1">
        <v>402.03</v>
      </c>
      <c r="F94" s="1">
        <v>38.119999999999997</v>
      </c>
      <c r="G94" s="1">
        <v>28</v>
      </c>
      <c r="H94" s="1" t="s">
        <v>12</v>
      </c>
      <c r="I94" s="1" t="s">
        <v>18</v>
      </c>
    </row>
    <row r="95" spans="1:9" x14ac:dyDescent="0.3">
      <c r="A95" s="1" t="s">
        <v>122</v>
      </c>
      <c r="B95" s="1" t="s">
        <v>47</v>
      </c>
      <c r="C95" s="1" t="s">
        <v>42</v>
      </c>
      <c r="D95" s="1">
        <v>4300</v>
      </c>
      <c r="E95" s="1">
        <v>196.7</v>
      </c>
      <c r="F95" s="1">
        <v>26.7</v>
      </c>
      <c r="G95" s="1">
        <v>48</v>
      </c>
      <c r="H95" s="1" t="s">
        <v>24</v>
      </c>
      <c r="I95" s="1" t="s">
        <v>13</v>
      </c>
    </row>
    <row r="96" spans="1:9" x14ac:dyDescent="0.3">
      <c r="A96" s="1" t="s">
        <v>123</v>
      </c>
      <c r="B96" s="1" t="s">
        <v>10</v>
      </c>
      <c r="C96" s="1" t="s">
        <v>11</v>
      </c>
      <c r="D96" s="1">
        <v>2864</v>
      </c>
      <c r="E96" s="1">
        <v>308.72000000000003</v>
      </c>
      <c r="F96" s="1">
        <v>7.87</v>
      </c>
      <c r="G96" s="1">
        <v>9</v>
      </c>
      <c r="H96" s="1" t="s">
        <v>17</v>
      </c>
      <c r="I96" s="1" t="s">
        <v>13</v>
      </c>
    </row>
    <row r="97" spans="1:9" x14ac:dyDescent="0.3">
      <c r="A97" s="1" t="s">
        <v>124</v>
      </c>
      <c r="B97" s="1" t="s">
        <v>15</v>
      </c>
      <c r="C97" s="1" t="s">
        <v>32</v>
      </c>
      <c r="D97" s="1">
        <v>62</v>
      </c>
      <c r="E97" s="1">
        <v>10.08</v>
      </c>
      <c r="F97" s="1">
        <v>29.27</v>
      </c>
      <c r="G97" s="1">
        <v>2</v>
      </c>
      <c r="H97" s="1" t="s">
        <v>12</v>
      </c>
      <c r="I97" s="1" t="s">
        <v>13</v>
      </c>
    </row>
    <row r="98" spans="1:9" x14ac:dyDescent="0.3">
      <c r="A98" s="1" t="s">
        <v>125</v>
      </c>
      <c r="B98" s="1" t="s">
        <v>15</v>
      </c>
      <c r="C98" s="1" t="s">
        <v>42</v>
      </c>
      <c r="D98" s="1">
        <v>144</v>
      </c>
      <c r="E98" s="1">
        <v>196.54</v>
      </c>
      <c r="F98" s="1">
        <v>16.559999999999999</v>
      </c>
      <c r="G98" s="1">
        <v>7</v>
      </c>
      <c r="H98" s="1" t="s">
        <v>17</v>
      </c>
      <c r="I98" s="1" t="s">
        <v>18</v>
      </c>
    </row>
    <row r="99" spans="1:9" x14ac:dyDescent="0.3">
      <c r="A99" s="1" t="s">
        <v>126</v>
      </c>
      <c r="B99" s="1" t="s">
        <v>34</v>
      </c>
      <c r="C99" s="1" t="s">
        <v>42</v>
      </c>
      <c r="D99" s="1">
        <v>1818</v>
      </c>
      <c r="E99" s="1">
        <v>310.8</v>
      </c>
      <c r="F99" s="1">
        <v>13.4</v>
      </c>
      <c r="G99" s="1">
        <v>49</v>
      </c>
      <c r="H99" s="1" t="s">
        <v>12</v>
      </c>
      <c r="I99" s="1" t="s">
        <v>21</v>
      </c>
    </row>
    <row r="100" spans="1:9" x14ac:dyDescent="0.3">
      <c r="A100" s="1" t="s">
        <v>127</v>
      </c>
      <c r="B100" s="1" t="s">
        <v>34</v>
      </c>
      <c r="C100" s="1" t="s">
        <v>20</v>
      </c>
      <c r="D100" s="1">
        <v>3431</v>
      </c>
      <c r="E100" s="1">
        <v>377.88</v>
      </c>
      <c r="F100" s="1">
        <v>28.57</v>
      </c>
      <c r="G100" s="1">
        <v>50</v>
      </c>
      <c r="H100" s="1" t="s">
        <v>17</v>
      </c>
      <c r="I100" s="1" t="s">
        <v>18</v>
      </c>
    </row>
    <row r="101" spans="1:9" x14ac:dyDescent="0.3">
      <c r="A101" s="1" t="s">
        <v>128</v>
      </c>
      <c r="B101" s="1" t="s">
        <v>29</v>
      </c>
      <c r="C101" s="1" t="s">
        <v>11</v>
      </c>
      <c r="D101" s="1">
        <v>2856</v>
      </c>
      <c r="E101" s="1">
        <v>290.01</v>
      </c>
      <c r="F101" s="1">
        <v>30.02</v>
      </c>
      <c r="G101" s="1">
        <v>4</v>
      </c>
      <c r="H101" s="1" t="s">
        <v>17</v>
      </c>
      <c r="I101" s="1" t="s">
        <v>18</v>
      </c>
    </row>
    <row r="102" spans="1:9" x14ac:dyDescent="0.3">
      <c r="A102" s="1" t="s">
        <v>129</v>
      </c>
      <c r="B102" s="1" t="s">
        <v>34</v>
      </c>
      <c r="C102" s="1" t="s">
        <v>42</v>
      </c>
      <c r="D102" s="1">
        <v>3728</v>
      </c>
      <c r="E102" s="1">
        <v>18.66</v>
      </c>
      <c r="F102" s="1">
        <v>18.34</v>
      </c>
      <c r="G102" s="1">
        <v>10</v>
      </c>
      <c r="H102" s="1" t="s">
        <v>12</v>
      </c>
      <c r="I102" s="1" t="s">
        <v>13</v>
      </c>
    </row>
    <row r="103" spans="1:9" x14ac:dyDescent="0.3">
      <c r="A103" s="1" t="s">
        <v>130</v>
      </c>
      <c r="B103" s="1" t="s">
        <v>34</v>
      </c>
      <c r="C103" s="1" t="s">
        <v>11</v>
      </c>
      <c r="D103" s="1">
        <v>4382</v>
      </c>
      <c r="E103" s="1">
        <v>173.55</v>
      </c>
      <c r="F103" s="1">
        <v>17.7</v>
      </c>
      <c r="G103" s="1">
        <v>27</v>
      </c>
      <c r="H103" s="1" t="s">
        <v>12</v>
      </c>
      <c r="I103" s="1" t="s">
        <v>18</v>
      </c>
    </row>
    <row r="104" spans="1:9" x14ac:dyDescent="0.3">
      <c r="A104" s="1" t="s">
        <v>131</v>
      </c>
      <c r="B104" s="1" t="s">
        <v>47</v>
      </c>
      <c r="C104" s="1" t="s">
        <v>32</v>
      </c>
      <c r="D104" s="1">
        <v>2080</v>
      </c>
      <c r="E104" s="1">
        <v>88.89</v>
      </c>
      <c r="F104" s="1">
        <v>37.19</v>
      </c>
      <c r="G104" s="1">
        <v>7</v>
      </c>
      <c r="H104" s="1" t="s">
        <v>24</v>
      </c>
      <c r="I104" s="1" t="s">
        <v>21</v>
      </c>
    </row>
    <row r="105" spans="1:9" x14ac:dyDescent="0.3">
      <c r="A105" s="1" t="s">
        <v>132</v>
      </c>
      <c r="B105" s="1" t="s">
        <v>47</v>
      </c>
      <c r="C105" s="1" t="s">
        <v>11</v>
      </c>
      <c r="D105" s="1">
        <v>3697</v>
      </c>
      <c r="E105" s="1">
        <v>38.68</v>
      </c>
      <c r="F105" s="1">
        <v>20.41</v>
      </c>
      <c r="G105" s="1">
        <v>3</v>
      </c>
      <c r="H105" s="1" t="s">
        <v>12</v>
      </c>
      <c r="I105" s="1" t="s">
        <v>13</v>
      </c>
    </row>
    <row r="106" spans="1:9" x14ac:dyDescent="0.3">
      <c r="A106" s="1" t="s">
        <v>133</v>
      </c>
      <c r="B106" s="1" t="s">
        <v>29</v>
      </c>
      <c r="C106" s="1" t="s">
        <v>27</v>
      </c>
      <c r="D106" s="1">
        <v>145</v>
      </c>
      <c r="E106" s="1">
        <v>134.83000000000001</v>
      </c>
      <c r="F106" s="1">
        <v>22.34</v>
      </c>
      <c r="G106" s="1">
        <v>28</v>
      </c>
      <c r="H106" s="1" t="s">
        <v>24</v>
      </c>
      <c r="I106" s="1" t="s">
        <v>18</v>
      </c>
    </row>
    <row r="107" spans="1:9" x14ac:dyDescent="0.3">
      <c r="A107" s="1" t="s">
        <v>134</v>
      </c>
      <c r="B107" s="1" t="s">
        <v>10</v>
      </c>
      <c r="C107" s="1" t="s">
        <v>11</v>
      </c>
      <c r="D107" s="1">
        <v>2272</v>
      </c>
      <c r="E107" s="1">
        <v>60.72</v>
      </c>
      <c r="F107" s="1">
        <v>29.51</v>
      </c>
      <c r="G107" s="1">
        <v>7</v>
      </c>
      <c r="H107" s="1" t="s">
        <v>17</v>
      </c>
      <c r="I107" s="1" t="s">
        <v>21</v>
      </c>
    </row>
    <row r="108" spans="1:9" x14ac:dyDescent="0.3">
      <c r="A108" s="1" t="s">
        <v>135</v>
      </c>
      <c r="B108" s="1" t="s">
        <v>31</v>
      </c>
      <c r="C108" s="1" t="s">
        <v>27</v>
      </c>
      <c r="D108" s="1">
        <v>555</v>
      </c>
      <c r="E108" s="1">
        <v>115.31</v>
      </c>
      <c r="F108" s="1">
        <v>26.06</v>
      </c>
      <c r="G108" s="1">
        <v>1</v>
      </c>
      <c r="H108" s="1" t="s">
        <v>12</v>
      </c>
      <c r="I108" s="1" t="s">
        <v>18</v>
      </c>
    </row>
    <row r="109" spans="1:9" x14ac:dyDescent="0.3">
      <c r="A109" s="1" t="s">
        <v>136</v>
      </c>
      <c r="B109" s="1" t="s">
        <v>10</v>
      </c>
      <c r="C109" s="1" t="s">
        <v>11</v>
      </c>
      <c r="D109" s="1">
        <v>1965</v>
      </c>
      <c r="E109" s="1">
        <v>105.51</v>
      </c>
      <c r="F109" s="1">
        <v>33.299999999999997</v>
      </c>
      <c r="G109" s="1">
        <v>12</v>
      </c>
      <c r="H109" s="1" t="s">
        <v>12</v>
      </c>
      <c r="I109" s="1" t="s">
        <v>18</v>
      </c>
    </row>
    <row r="110" spans="1:9" x14ac:dyDescent="0.3">
      <c r="A110" s="1" t="s">
        <v>137</v>
      </c>
      <c r="B110" s="1" t="s">
        <v>10</v>
      </c>
      <c r="C110" s="1" t="s">
        <v>42</v>
      </c>
      <c r="D110" s="1">
        <v>3870</v>
      </c>
      <c r="E110" s="1">
        <v>316.52999999999997</v>
      </c>
      <c r="F110" s="1">
        <v>14.73</v>
      </c>
      <c r="G110" s="1">
        <v>46</v>
      </c>
      <c r="H110" s="1" t="s">
        <v>17</v>
      </c>
      <c r="I110" s="1" t="s">
        <v>18</v>
      </c>
    </row>
    <row r="111" spans="1:9" x14ac:dyDescent="0.3">
      <c r="A111" s="1" t="s">
        <v>138</v>
      </c>
      <c r="B111" s="1" t="s">
        <v>34</v>
      </c>
      <c r="C111" s="1" t="s">
        <v>42</v>
      </c>
      <c r="D111" s="1">
        <v>2983</v>
      </c>
      <c r="E111" s="1">
        <v>286.63</v>
      </c>
      <c r="F111" s="1">
        <v>15.41</v>
      </c>
      <c r="G111" s="1">
        <v>46</v>
      </c>
      <c r="H111" s="1" t="s">
        <v>12</v>
      </c>
      <c r="I111" s="1" t="s">
        <v>13</v>
      </c>
    </row>
    <row r="112" spans="1:9" x14ac:dyDescent="0.3">
      <c r="A112" s="1" t="s">
        <v>139</v>
      </c>
      <c r="B112" s="1" t="s">
        <v>29</v>
      </c>
      <c r="C112" s="1" t="s">
        <v>27</v>
      </c>
      <c r="D112" s="1">
        <v>2012</v>
      </c>
      <c r="E112" s="1">
        <v>141.44</v>
      </c>
      <c r="F112" s="1">
        <v>22.05</v>
      </c>
      <c r="G112" s="1">
        <v>44</v>
      </c>
      <c r="H112" s="1" t="s">
        <v>17</v>
      </c>
      <c r="I112" s="1" t="s">
        <v>13</v>
      </c>
    </row>
    <row r="113" spans="1:9" x14ac:dyDescent="0.3">
      <c r="A113" s="1" t="s">
        <v>140</v>
      </c>
      <c r="B113" s="1" t="s">
        <v>23</v>
      </c>
      <c r="C113" s="1" t="s">
        <v>32</v>
      </c>
      <c r="D113" s="1">
        <v>2023</v>
      </c>
      <c r="E113" s="1">
        <v>339.61</v>
      </c>
      <c r="F113" s="1">
        <v>25.6</v>
      </c>
      <c r="G113" s="1">
        <v>25</v>
      </c>
      <c r="H113" s="1" t="s">
        <v>24</v>
      </c>
      <c r="I113" s="1" t="s">
        <v>21</v>
      </c>
    </row>
    <row r="114" spans="1:9" x14ac:dyDescent="0.3">
      <c r="A114" s="1" t="s">
        <v>141</v>
      </c>
      <c r="B114" s="1" t="s">
        <v>31</v>
      </c>
      <c r="C114" s="1" t="s">
        <v>16</v>
      </c>
      <c r="D114" s="1">
        <v>447</v>
      </c>
      <c r="E114" s="1">
        <v>456.41</v>
      </c>
      <c r="F114" s="1">
        <v>37.82</v>
      </c>
      <c r="G114" s="1">
        <v>31</v>
      </c>
      <c r="H114" s="1" t="s">
        <v>24</v>
      </c>
      <c r="I114" s="1" t="s">
        <v>18</v>
      </c>
    </row>
    <row r="115" spans="1:9" x14ac:dyDescent="0.3">
      <c r="A115" s="1" t="s">
        <v>142</v>
      </c>
      <c r="B115" s="1" t="s">
        <v>31</v>
      </c>
      <c r="C115" s="1" t="s">
        <v>16</v>
      </c>
      <c r="D115" s="1">
        <v>1121</v>
      </c>
      <c r="E115" s="1">
        <v>171.96</v>
      </c>
      <c r="F115" s="1">
        <v>37.840000000000003</v>
      </c>
      <c r="G115" s="1">
        <v>1</v>
      </c>
      <c r="H115" s="1" t="s">
        <v>17</v>
      </c>
      <c r="I115" s="1" t="s">
        <v>18</v>
      </c>
    </row>
    <row r="116" spans="1:9" x14ac:dyDescent="0.3">
      <c r="A116" s="1" t="s">
        <v>143</v>
      </c>
      <c r="B116" s="1" t="s">
        <v>34</v>
      </c>
      <c r="C116" s="1" t="s">
        <v>16</v>
      </c>
      <c r="D116" s="1">
        <v>1390</v>
      </c>
      <c r="E116" s="1">
        <v>490.45</v>
      </c>
      <c r="F116" s="1">
        <v>26.03</v>
      </c>
      <c r="G116" s="1">
        <v>12</v>
      </c>
      <c r="H116" s="1" t="s">
        <v>17</v>
      </c>
      <c r="I116" s="1" t="s">
        <v>13</v>
      </c>
    </row>
    <row r="117" spans="1:9" x14ac:dyDescent="0.3">
      <c r="A117" s="1" t="s">
        <v>144</v>
      </c>
      <c r="B117" s="1" t="s">
        <v>29</v>
      </c>
      <c r="C117" s="1" t="s">
        <v>40</v>
      </c>
      <c r="D117" s="1">
        <v>4246</v>
      </c>
      <c r="E117" s="1">
        <v>490.68</v>
      </c>
      <c r="F117" s="1">
        <v>32.44</v>
      </c>
      <c r="G117" s="1">
        <v>21</v>
      </c>
      <c r="H117" s="1" t="s">
        <v>17</v>
      </c>
      <c r="I117" s="1" t="s">
        <v>18</v>
      </c>
    </row>
    <row r="118" spans="1:9" x14ac:dyDescent="0.3">
      <c r="A118" s="1" t="s">
        <v>145</v>
      </c>
      <c r="B118" s="1" t="s">
        <v>47</v>
      </c>
      <c r="C118" s="1" t="s">
        <v>16</v>
      </c>
      <c r="D118" s="1">
        <v>4963</v>
      </c>
      <c r="E118" s="1">
        <v>404.28</v>
      </c>
      <c r="F118" s="1">
        <v>24.31</v>
      </c>
      <c r="G118" s="1">
        <v>49</v>
      </c>
      <c r="H118" s="1" t="s">
        <v>24</v>
      </c>
      <c r="I118" s="1" t="s">
        <v>18</v>
      </c>
    </row>
    <row r="119" spans="1:9" x14ac:dyDescent="0.3">
      <c r="A119" s="1" t="s">
        <v>146</v>
      </c>
      <c r="B119" s="1" t="s">
        <v>47</v>
      </c>
      <c r="C119" s="1" t="s">
        <v>40</v>
      </c>
      <c r="D119" s="1">
        <v>3937</v>
      </c>
      <c r="E119" s="1">
        <v>160.24</v>
      </c>
      <c r="F119" s="1">
        <v>35.51</v>
      </c>
      <c r="G119" s="1">
        <v>34</v>
      </c>
      <c r="H119" s="1" t="s">
        <v>24</v>
      </c>
      <c r="I119" s="1" t="s">
        <v>13</v>
      </c>
    </row>
    <row r="120" spans="1:9" x14ac:dyDescent="0.3">
      <c r="A120" s="1" t="s">
        <v>147</v>
      </c>
      <c r="B120" s="1" t="s">
        <v>31</v>
      </c>
      <c r="C120" s="1" t="s">
        <v>42</v>
      </c>
      <c r="D120" s="1">
        <v>186</v>
      </c>
      <c r="E120" s="1">
        <v>47.11</v>
      </c>
      <c r="F120" s="1">
        <v>32.85</v>
      </c>
      <c r="G120" s="1">
        <v>38</v>
      </c>
      <c r="H120" s="1" t="s">
        <v>24</v>
      </c>
      <c r="I120" s="1" t="s">
        <v>18</v>
      </c>
    </row>
    <row r="121" spans="1:9" x14ac:dyDescent="0.3">
      <c r="A121" s="1" t="s">
        <v>148</v>
      </c>
      <c r="B121" s="1" t="s">
        <v>29</v>
      </c>
      <c r="C121" s="1" t="s">
        <v>42</v>
      </c>
      <c r="D121" s="1">
        <v>2969</v>
      </c>
      <c r="E121" s="1">
        <v>483.75</v>
      </c>
      <c r="F121" s="1">
        <v>31.6</v>
      </c>
      <c r="G121" s="1">
        <v>46</v>
      </c>
      <c r="H121" s="1" t="s">
        <v>17</v>
      </c>
      <c r="I121" s="1" t="s">
        <v>18</v>
      </c>
    </row>
    <row r="122" spans="1:9" x14ac:dyDescent="0.3">
      <c r="A122" s="1" t="s">
        <v>149</v>
      </c>
      <c r="B122" s="1" t="s">
        <v>10</v>
      </c>
      <c r="C122" s="1" t="s">
        <v>40</v>
      </c>
      <c r="D122" s="1">
        <v>821</v>
      </c>
      <c r="E122" s="1">
        <v>73.349999999999994</v>
      </c>
      <c r="F122" s="1">
        <v>7.12</v>
      </c>
      <c r="G122" s="1">
        <v>37</v>
      </c>
      <c r="H122" s="1" t="s">
        <v>24</v>
      </c>
      <c r="I122" s="1" t="s">
        <v>21</v>
      </c>
    </row>
    <row r="123" spans="1:9" x14ac:dyDescent="0.3">
      <c r="A123" s="1" t="s">
        <v>150</v>
      </c>
      <c r="B123" s="1" t="s">
        <v>23</v>
      </c>
      <c r="C123" s="1" t="s">
        <v>16</v>
      </c>
      <c r="D123" s="1">
        <v>2528</v>
      </c>
      <c r="E123" s="1">
        <v>108.72</v>
      </c>
      <c r="F123" s="1">
        <v>25.17</v>
      </c>
      <c r="G123" s="1">
        <v>32</v>
      </c>
      <c r="H123" s="1" t="s">
        <v>12</v>
      </c>
      <c r="I123" s="1" t="s">
        <v>13</v>
      </c>
    </row>
    <row r="124" spans="1:9" x14ac:dyDescent="0.3">
      <c r="A124" s="1" t="s">
        <v>151</v>
      </c>
      <c r="B124" s="1" t="s">
        <v>29</v>
      </c>
      <c r="C124" s="1" t="s">
        <v>16</v>
      </c>
      <c r="D124" s="1">
        <v>2097</v>
      </c>
      <c r="E124" s="1">
        <v>226.32</v>
      </c>
      <c r="F124" s="1">
        <v>31.66</v>
      </c>
      <c r="G124" s="1">
        <v>8</v>
      </c>
      <c r="H124" s="1" t="s">
        <v>24</v>
      </c>
      <c r="I124" s="1" t="s">
        <v>18</v>
      </c>
    </row>
    <row r="125" spans="1:9" x14ac:dyDescent="0.3">
      <c r="A125" s="1" t="s">
        <v>152</v>
      </c>
      <c r="B125" s="1" t="s">
        <v>47</v>
      </c>
      <c r="C125" s="1" t="s">
        <v>16</v>
      </c>
      <c r="D125" s="1">
        <v>4463</v>
      </c>
      <c r="E125" s="1">
        <v>214.37</v>
      </c>
      <c r="F125" s="1">
        <v>7.41</v>
      </c>
      <c r="G125" s="1">
        <v>2</v>
      </c>
      <c r="H125" s="1" t="s">
        <v>17</v>
      </c>
      <c r="I125" s="1" t="s">
        <v>18</v>
      </c>
    </row>
    <row r="126" spans="1:9" x14ac:dyDescent="0.3">
      <c r="A126" s="1" t="s">
        <v>153</v>
      </c>
      <c r="B126" s="1" t="s">
        <v>31</v>
      </c>
      <c r="C126" s="1" t="s">
        <v>20</v>
      </c>
      <c r="D126" s="1">
        <v>1218</v>
      </c>
      <c r="E126" s="1">
        <v>330.19</v>
      </c>
      <c r="F126" s="1">
        <v>15.7</v>
      </c>
      <c r="G126" s="1">
        <v>27</v>
      </c>
      <c r="H126" s="1" t="s">
        <v>17</v>
      </c>
      <c r="I126" s="1" t="s">
        <v>21</v>
      </c>
    </row>
    <row r="127" spans="1:9" x14ac:dyDescent="0.3">
      <c r="A127" s="1" t="s">
        <v>154</v>
      </c>
      <c r="B127" s="1" t="s">
        <v>23</v>
      </c>
      <c r="C127" s="1" t="s">
        <v>42</v>
      </c>
      <c r="D127" s="1">
        <v>1121</v>
      </c>
      <c r="E127" s="1">
        <v>220.83</v>
      </c>
      <c r="F127" s="1">
        <v>33.479999999999997</v>
      </c>
      <c r="G127" s="1">
        <v>43</v>
      </c>
      <c r="H127" s="1" t="s">
        <v>24</v>
      </c>
      <c r="I127" s="1" t="s">
        <v>13</v>
      </c>
    </row>
    <row r="128" spans="1:9" x14ac:dyDescent="0.3">
      <c r="A128" s="1" t="s">
        <v>155</v>
      </c>
      <c r="B128" s="1" t="s">
        <v>31</v>
      </c>
      <c r="C128" s="1" t="s">
        <v>20</v>
      </c>
      <c r="D128" s="1">
        <v>1951</v>
      </c>
      <c r="E128" s="1">
        <v>15.71</v>
      </c>
      <c r="F128" s="1">
        <v>26.25</v>
      </c>
      <c r="G128" s="1">
        <v>1</v>
      </c>
      <c r="H128" s="1" t="s">
        <v>12</v>
      </c>
      <c r="I128" s="1" t="s">
        <v>13</v>
      </c>
    </row>
    <row r="129" spans="1:9" x14ac:dyDescent="0.3">
      <c r="A129" s="1" t="s">
        <v>156</v>
      </c>
      <c r="B129" s="1" t="s">
        <v>47</v>
      </c>
      <c r="C129" s="1" t="s">
        <v>11</v>
      </c>
      <c r="D129" s="1">
        <v>2078</v>
      </c>
      <c r="E129" s="1">
        <v>51.9</v>
      </c>
      <c r="F129" s="1">
        <v>12.07</v>
      </c>
      <c r="G129" s="1">
        <v>29</v>
      </c>
      <c r="H129" s="1" t="s">
        <v>17</v>
      </c>
      <c r="I129" s="1" t="s">
        <v>21</v>
      </c>
    </row>
    <row r="130" spans="1:9" x14ac:dyDescent="0.3">
      <c r="A130" s="1" t="s">
        <v>157</v>
      </c>
      <c r="B130" s="1" t="s">
        <v>29</v>
      </c>
      <c r="C130" s="1" t="s">
        <v>32</v>
      </c>
      <c r="D130" s="1">
        <v>2638</v>
      </c>
      <c r="E130" s="1">
        <v>110.74</v>
      </c>
      <c r="F130" s="1">
        <v>10.26</v>
      </c>
      <c r="G130" s="1">
        <v>26</v>
      </c>
      <c r="H130" s="1" t="s">
        <v>24</v>
      </c>
      <c r="I130" s="1" t="s">
        <v>13</v>
      </c>
    </row>
    <row r="131" spans="1:9" x14ac:dyDescent="0.3">
      <c r="A131" s="1" t="s">
        <v>158</v>
      </c>
      <c r="B131" s="1" t="s">
        <v>29</v>
      </c>
      <c r="C131" s="1" t="s">
        <v>32</v>
      </c>
      <c r="D131" s="1">
        <v>3652</v>
      </c>
      <c r="E131" s="1">
        <v>82.57</v>
      </c>
      <c r="F131" s="1">
        <v>25.08</v>
      </c>
      <c r="G131" s="1">
        <v>22</v>
      </c>
      <c r="H131" s="1" t="s">
        <v>12</v>
      </c>
      <c r="I131" s="1" t="s">
        <v>18</v>
      </c>
    </row>
    <row r="132" spans="1:9" x14ac:dyDescent="0.3">
      <c r="A132" s="1" t="s">
        <v>159</v>
      </c>
      <c r="B132" s="1" t="s">
        <v>34</v>
      </c>
      <c r="C132" s="1" t="s">
        <v>40</v>
      </c>
      <c r="D132" s="1">
        <v>4263</v>
      </c>
      <c r="E132" s="1">
        <v>151.65</v>
      </c>
      <c r="F132" s="1">
        <v>18.14</v>
      </c>
      <c r="G132" s="1">
        <v>8</v>
      </c>
      <c r="H132" s="1" t="s">
        <v>17</v>
      </c>
      <c r="I132" s="1" t="s">
        <v>21</v>
      </c>
    </row>
    <row r="133" spans="1:9" x14ac:dyDescent="0.3">
      <c r="A133" s="1" t="s">
        <v>160</v>
      </c>
      <c r="B133" s="1" t="s">
        <v>23</v>
      </c>
      <c r="C133" s="1" t="s">
        <v>27</v>
      </c>
      <c r="D133" s="1">
        <v>4366</v>
      </c>
      <c r="E133" s="1">
        <v>154.04</v>
      </c>
      <c r="F133" s="1">
        <v>37.369999999999997</v>
      </c>
      <c r="G133" s="1">
        <v>31</v>
      </c>
      <c r="H133" s="1" t="s">
        <v>12</v>
      </c>
      <c r="I133" s="1" t="s">
        <v>21</v>
      </c>
    </row>
    <row r="134" spans="1:9" x14ac:dyDescent="0.3">
      <c r="A134" s="1" t="s">
        <v>161</v>
      </c>
      <c r="B134" s="1" t="s">
        <v>31</v>
      </c>
      <c r="C134" s="1" t="s">
        <v>20</v>
      </c>
      <c r="D134" s="1">
        <v>4759</v>
      </c>
      <c r="E134" s="1">
        <v>498.95</v>
      </c>
      <c r="F134" s="1">
        <v>13.39</v>
      </c>
      <c r="G134" s="1">
        <v>22</v>
      </c>
      <c r="H134" s="1" t="s">
        <v>24</v>
      </c>
      <c r="I134" s="1" t="s">
        <v>13</v>
      </c>
    </row>
    <row r="135" spans="1:9" x14ac:dyDescent="0.3">
      <c r="A135" s="1" t="s">
        <v>162</v>
      </c>
      <c r="B135" s="1" t="s">
        <v>10</v>
      </c>
      <c r="C135" s="1" t="s">
        <v>42</v>
      </c>
      <c r="D135" s="1">
        <v>425</v>
      </c>
      <c r="E135" s="1">
        <v>479.41</v>
      </c>
      <c r="F135" s="1">
        <v>21.62</v>
      </c>
      <c r="G135" s="1">
        <v>24</v>
      </c>
      <c r="H135" s="1" t="s">
        <v>17</v>
      </c>
      <c r="I135" s="1" t="s">
        <v>13</v>
      </c>
    </row>
    <row r="136" spans="1:9" x14ac:dyDescent="0.3">
      <c r="A136" s="1" t="s">
        <v>163</v>
      </c>
      <c r="B136" s="1" t="s">
        <v>29</v>
      </c>
      <c r="C136" s="1" t="s">
        <v>11</v>
      </c>
      <c r="D136" s="1">
        <v>2861</v>
      </c>
      <c r="E136" s="1">
        <v>433.38</v>
      </c>
      <c r="F136" s="1">
        <v>38.31</v>
      </c>
      <c r="G136" s="1">
        <v>3</v>
      </c>
      <c r="H136" s="1" t="s">
        <v>24</v>
      </c>
      <c r="I136" s="1" t="s">
        <v>13</v>
      </c>
    </row>
    <row r="137" spans="1:9" x14ac:dyDescent="0.3">
      <c r="A137" s="1" t="s">
        <v>164</v>
      </c>
      <c r="B137" s="1" t="s">
        <v>47</v>
      </c>
      <c r="C137" s="1" t="s">
        <v>16</v>
      </c>
      <c r="D137" s="1">
        <v>4850</v>
      </c>
      <c r="E137" s="1">
        <v>214.75</v>
      </c>
      <c r="F137" s="1">
        <v>31.26</v>
      </c>
      <c r="G137" s="1">
        <v>40</v>
      </c>
      <c r="H137" s="1" t="s">
        <v>17</v>
      </c>
      <c r="I137" s="1" t="s">
        <v>21</v>
      </c>
    </row>
    <row r="138" spans="1:9" x14ac:dyDescent="0.3">
      <c r="A138" s="1" t="s">
        <v>165</v>
      </c>
      <c r="B138" s="1" t="s">
        <v>15</v>
      </c>
      <c r="C138" s="1" t="s">
        <v>11</v>
      </c>
      <c r="D138" s="1">
        <v>176</v>
      </c>
      <c r="E138" s="1">
        <v>241.32</v>
      </c>
      <c r="F138" s="1">
        <v>22.35</v>
      </c>
      <c r="G138" s="1">
        <v>2</v>
      </c>
      <c r="H138" s="1" t="s">
        <v>17</v>
      </c>
      <c r="I138" s="1" t="s">
        <v>21</v>
      </c>
    </row>
    <row r="139" spans="1:9" x14ac:dyDescent="0.3">
      <c r="A139" s="1" t="s">
        <v>166</v>
      </c>
      <c r="B139" s="1" t="s">
        <v>34</v>
      </c>
      <c r="C139" s="1" t="s">
        <v>40</v>
      </c>
      <c r="D139" s="1">
        <v>2831</v>
      </c>
      <c r="E139" s="1">
        <v>298.02999999999997</v>
      </c>
      <c r="F139" s="1">
        <v>9.19</v>
      </c>
      <c r="G139" s="1">
        <v>41</v>
      </c>
      <c r="H139" s="1" t="s">
        <v>12</v>
      </c>
      <c r="I139" s="1" t="s">
        <v>18</v>
      </c>
    </row>
    <row r="140" spans="1:9" x14ac:dyDescent="0.3">
      <c r="A140" s="1" t="s">
        <v>167</v>
      </c>
      <c r="B140" s="1" t="s">
        <v>23</v>
      </c>
      <c r="C140" s="1" t="s">
        <v>11</v>
      </c>
      <c r="D140" s="1">
        <v>2424</v>
      </c>
      <c r="E140" s="1">
        <v>343.33</v>
      </c>
      <c r="F140" s="1">
        <v>22.81</v>
      </c>
      <c r="G140" s="1">
        <v>4</v>
      </c>
      <c r="H140" s="1" t="s">
        <v>24</v>
      </c>
      <c r="I140" s="1" t="s">
        <v>18</v>
      </c>
    </row>
    <row r="141" spans="1:9" x14ac:dyDescent="0.3">
      <c r="A141" s="1" t="s">
        <v>168</v>
      </c>
      <c r="B141" s="1" t="s">
        <v>23</v>
      </c>
      <c r="C141" s="1" t="s">
        <v>42</v>
      </c>
      <c r="D141" s="1">
        <v>3673</v>
      </c>
      <c r="E141" s="1">
        <v>442.38</v>
      </c>
      <c r="F141" s="1">
        <v>5.64</v>
      </c>
      <c r="G141" s="1">
        <v>19</v>
      </c>
      <c r="H141" s="1" t="s">
        <v>24</v>
      </c>
      <c r="I141" s="1" t="s">
        <v>21</v>
      </c>
    </row>
    <row r="142" spans="1:9" x14ac:dyDescent="0.3">
      <c r="A142" s="1" t="s">
        <v>169</v>
      </c>
      <c r="B142" s="1" t="s">
        <v>23</v>
      </c>
      <c r="C142" s="1" t="s">
        <v>40</v>
      </c>
      <c r="D142" s="1">
        <v>264</v>
      </c>
      <c r="E142" s="1">
        <v>485.25</v>
      </c>
      <c r="F142" s="1">
        <v>5.0599999999999996</v>
      </c>
      <c r="G142" s="1">
        <v>17</v>
      </c>
      <c r="H142" s="1" t="s">
        <v>12</v>
      </c>
      <c r="I142" s="1" t="s">
        <v>13</v>
      </c>
    </row>
    <row r="143" spans="1:9" x14ac:dyDescent="0.3">
      <c r="A143" s="1" t="s">
        <v>170</v>
      </c>
      <c r="B143" s="1" t="s">
        <v>29</v>
      </c>
      <c r="C143" s="1" t="s">
        <v>20</v>
      </c>
      <c r="D143" s="1">
        <v>4519</v>
      </c>
      <c r="E143" s="1">
        <v>23.35</v>
      </c>
      <c r="F143" s="1">
        <v>14.27</v>
      </c>
      <c r="G143" s="1">
        <v>49</v>
      </c>
      <c r="H143" s="1" t="s">
        <v>12</v>
      </c>
      <c r="I143" s="1" t="s">
        <v>21</v>
      </c>
    </row>
    <row r="144" spans="1:9" x14ac:dyDescent="0.3">
      <c r="A144" s="1" t="s">
        <v>171</v>
      </c>
      <c r="B144" s="1" t="s">
        <v>34</v>
      </c>
      <c r="C144" s="1" t="s">
        <v>27</v>
      </c>
      <c r="D144" s="1">
        <v>4115</v>
      </c>
      <c r="E144" s="1">
        <v>136.18</v>
      </c>
      <c r="F144" s="1">
        <v>27.95</v>
      </c>
      <c r="G144" s="1">
        <v>8</v>
      </c>
      <c r="H144" s="1" t="s">
        <v>12</v>
      </c>
      <c r="I144" s="1" t="s">
        <v>13</v>
      </c>
    </row>
    <row r="145" spans="1:9" x14ac:dyDescent="0.3">
      <c r="A145" s="1" t="s">
        <v>172</v>
      </c>
      <c r="B145" s="1" t="s">
        <v>31</v>
      </c>
      <c r="C145" s="1" t="s">
        <v>27</v>
      </c>
      <c r="D145" s="1">
        <v>3865</v>
      </c>
      <c r="E145" s="1">
        <v>238.1</v>
      </c>
      <c r="F145" s="1">
        <v>37.75</v>
      </c>
      <c r="G145" s="1">
        <v>12</v>
      </c>
      <c r="H145" s="1" t="s">
        <v>17</v>
      </c>
      <c r="I145" s="1" t="s">
        <v>21</v>
      </c>
    </row>
    <row r="146" spans="1:9" x14ac:dyDescent="0.3">
      <c r="A146" s="1" t="s">
        <v>173</v>
      </c>
      <c r="B146" s="1" t="s">
        <v>10</v>
      </c>
      <c r="C146" s="1" t="s">
        <v>11</v>
      </c>
      <c r="D146" s="1">
        <v>1135</v>
      </c>
      <c r="E146" s="1">
        <v>335.19</v>
      </c>
      <c r="F146" s="1">
        <v>23.02</v>
      </c>
      <c r="G146" s="1">
        <v>44</v>
      </c>
      <c r="H146" s="1" t="s">
        <v>17</v>
      </c>
      <c r="I146" s="1" t="s">
        <v>18</v>
      </c>
    </row>
    <row r="147" spans="1:9" x14ac:dyDescent="0.3">
      <c r="A147" s="1" t="s">
        <v>174</v>
      </c>
      <c r="B147" s="1" t="s">
        <v>23</v>
      </c>
      <c r="C147" s="1" t="s">
        <v>42</v>
      </c>
      <c r="D147" s="1">
        <v>3489</v>
      </c>
      <c r="E147" s="1">
        <v>39.700000000000003</v>
      </c>
      <c r="F147" s="1">
        <v>5.65</v>
      </c>
      <c r="G147" s="1">
        <v>25</v>
      </c>
      <c r="H147" s="1" t="s">
        <v>24</v>
      </c>
      <c r="I147" s="1" t="s">
        <v>21</v>
      </c>
    </row>
    <row r="148" spans="1:9" x14ac:dyDescent="0.3">
      <c r="A148" s="1" t="s">
        <v>175</v>
      </c>
      <c r="B148" s="1" t="s">
        <v>47</v>
      </c>
      <c r="C148" s="1" t="s">
        <v>16</v>
      </c>
      <c r="D148" s="1">
        <v>3160</v>
      </c>
      <c r="E148" s="1">
        <v>231.67</v>
      </c>
      <c r="F148" s="1">
        <v>35.83</v>
      </c>
      <c r="G148" s="1">
        <v>43</v>
      </c>
      <c r="H148" s="1" t="s">
        <v>24</v>
      </c>
      <c r="I148" s="1" t="s">
        <v>18</v>
      </c>
    </row>
    <row r="149" spans="1:9" x14ac:dyDescent="0.3">
      <c r="A149" s="1" t="s">
        <v>176</v>
      </c>
      <c r="B149" s="1" t="s">
        <v>10</v>
      </c>
      <c r="C149" s="1" t="s">
        <v>27</v>
      </c>
      <c r="D149" s="1">
        <v>4552</v>
      </c>
      <c r="E149" s="1">
        <v>393.28</v>
      </c>
      <c r="F149" s="1">
        <v>17.11</v>
      </c>
      <c r="G149" s="1">
        <v>15</v>
      </c>
      <c r="H149" s="1" t="s">
        <v>17</v>
      </c>
      <c r="I149" s="1" t="s">
        <v>13</v>
      </c>
    </row>
    <row r="150" spans="1:9" x14ac:dyDescent="0.3">
      <c r="A150" s="1" t="s">
        <v>177</v>
      </c>
      <c r="B150" s="1" t="s">
        <v>15</v>
      </c>
      <c r="C150" s="1" t="s">
        <v>32</v>
      </c>
      <c r="D150" s="1">
        <v>3358</v>
      </c>
      <c r="E150" s="1">
        <v>62.18</v>
      </c>
      <c r="F150" s="1">
        <v>31.8</v>
      </c>
      <c r="G150" s="1">
        <v>40</v>
      </c>
      <c r="H150" s="1" t="s">
        <v>24</v>
      </c>
      <c r="I150" s="1" t="s">
        <v>21</v>
      </c>
    </row>
    <row r="151" spans="1:9" x14ac:dyDescent="0.3">
      <c r="A151" s="1" t="s">
        <v>178</v>
      </c>
      <c r="B151" s="1" t="s">
        <v>29</v>
      </c>
      <c r="C151" s="1" t="s">
        <v>40</v>
      </c>
      <c r="D151" s="1">
        <v>1119</v>
      </c>
      <c r="E151" s="1">
        <v>474.87</v>
      </c>
      <c r="F151" s="1">
        <v>17.82</v>
      </c>
      <c r="G151" s="1">
        <v>31</v>
      </c>
      <c r="H151" s="1" t="s">
        <v>24</v>
      </c>
      <c r="I151" s="1" t="s">
        <v>21</v>
      </c>
    </row>
    <row r="152" spans="1:9" x14ac:dyDescent="0.3">
      <c r="A152" s="1" t="s">
        <v>179</v>
      </c>
      <c r="B152" s="1" t="s">
        <v>47</v>
      </c>
      <c r="C152" s="1" t="s">
        <v>40</v>
      </c>
      <c r="D152" s="1">
        <v>1016</v>
      </c>
      <c r="E152" s="1">
        <v>459.82</v>
      </c>
      <c r="F152" s="1">
        <v>27.24</v>
      </c>
      <c r="G152" s="1">
        <v>16</v>
      </c>
      <c r="H152" s="1" t="s">
        <v>24</v>
      </c>
      <c r="I152" s="1" t="s">
        <v>21</v>
      </c>
    </row>
    <row r="153" spans="1:9" x14ac:dyDescent="0.3">
      <c r="A153" s="1" t="s">
        <v>180</v>
      </c>
      <c r="B153" s="1" t="s">
        <v>34</v>
      </c>
      <c r="C153" s="1" t="s">
        <v>27</v>
      </c>
      <c r="D153" s="1">
        <v>1076</v>
      </c>
      <c r="E153" s="1">
        <v>16.89</v>
      </c>
      <c r="F153" s="1">
        <v>12.39</v>
      </c>
      <c r="G153" s="1">
        <v>16</v>
      </c>
      <c r="H153" s="1" t="s">
        <v>24</v>
      </c>
      <c r="I153" s="1" t="s">
        <v>18</v>
      </c>
    </row>
    <row r="154" spans="1:9" x14ac:dyDescent="0.3">
      <c r="A154" s="1" t="s">
        <v>181</v>
      </c>
      <c r="B154" s="1" t="s">
        <v>23</v>
      </c>
      <c r="C154" s="1" t="s">
        <v>16</v>
      </c>
      <c r="D154" s="1">
        <v>3747</v>
      </c>
      <c r="E154" s="1">
        <v>461.45</v>
      </c>
      <c r="F154" s="1">
        <v>21.54</v>
      </c>
      <c r="G154" s="1">
        <v>14</v>
      </c>
      <c r="H154" s="1" t="s">
        <v>17</v>
      </c>
      <c r="I154" s="1" t="s">
        <v>21</v>
      </c>
    </row>
    <row r="155" spans="1:9" x14ac:dyDescent="0.3">
      <c r="A155" s="1" t="s">
        <v>182</v>
      </c>
      <c r="B155" s="1" t="s">
        <v>29</v>
      </c>
      <c r="C155" s="1" t="s">
        <v>27</v>
      </c>
      <c r="D155" s="1">
        <v>3903</v>
      </c>
      <c r="E155" s="1">
        <v>111</v>
      </c>
      <c r="F155" s="1">
        <v>5.9</v>
      </c>
      <c r="G155" s="1">
        <v>24</v>
      </c>
      <c r="H155" s="1" t="s">
        <v>12</v>
      </c>
      <c r="I155" s="1" t="s">
        <v>13</v>
      </c>
    </row>
    <row r="156" spans="1:9" x14ac:dyDescent="0.3">
      <c r="A156" s="1" t="s">
        <v>183</v>
      </c>
      <c r="B156" s="1" t="s">
        <v>34</v>
      </c>
      <c r="C156" s="1" t="s">
        <v>42</v>
      </c>
      <c r="D156" s="1">
        <v>4378</v>
      </c>
      <c r="E156" s="1">
        <v>404.5</v>
      </c>
      <c r="F156" s="1">
        <v>27.07</v>
      </c>
      <c r="G156" s="1">
        <v>21</v>
      </c>
      <c r="H156" s="1" t="s">
        <v>24</v>
      </c>
      <c r="I156" s="1" t="s">
        <v>21</v>
      </c>
    </row>
    <row r="157" spans="1:9" x14ac:dyDescent="0.3">
      <c r="A157" s="1" t="s">
        <v>184</v>
      </c>
      <c r="B157" s="1" t="s">
        <v>29</v>
      </c>
      <c r="C157" s="1" t="s">
        <v>11</v>
      </c>
      <c r="D157" s="1">
        <v>4148</v>
      </c>
      <c r="E157" s="1">
        <v>233.04</v>
      </c>
      <c r="F157" s="1">
        <v>14.84</v>
      </c>
      <c r="G157" s="1">
        <v>37</v>
      </c>
      <c r="H157" s="1" t="s">
        <v>12</v>
      </c>
      <c r="I157" s="1" t="s">
        <v>18</v>
      </c>
    </row>
    <row r="158" spans="1:9" x14ac:dyDescent="0.3">
      <c r="A158" s="1" t="s">
        <v>185</v>
      </c>
      <c r="B158" s="1" t="s">
        <v>47</v>
      </c>
      <c r="C158" s="1" t="s">
        <v>42</v>
      </c>
      <c r="D158" s="1">
        <v>410</v>
      </c>
      <c r="E158" s="1">
        <v>283.16000000000003</v>
      </c>
      <c r="F158" s="1">
        <v>20.02</v>
      </c>
      <c r="G158" s="1">
        <v>23</v>
      </c>
      <c r="H158" s="1" t="s">
        <v>17</v>
      </c>
      <c r="I158" s="1" t="s">
        <v>18</v>
      </c>
    </row>
    <row r="159" spans="1:9" x14ac:dyDescent="0.3">
      <c r="A159" s="1" t="s">
        <v>186</v>
      </c>
      <c r="B159" s="1" t="s">
        <v>15</v>
      </c>
      <c r="C159" s="1" t="s">
        <v>16</v>
      </c>
      <c r="D159" s="1">
        <v>1695</v>
      </c>
      <c r="E159" s="1">
        <v>66.89</v>
      </c>
      <c r="F159" s="1">
        <v>23.91</v>
      </c>
      <c r="G159" s="1">
        <v>5</v>
      </c>
      <c r="H159" s="1" t="s">
        <v>17</v>
      </c>
      <c r="I159" s="1" t="s">
        <v>21</v>
      </c>
    </row>
    <row r="160" spans="1:9" x14ac:dyDescent="0.3">
      <c r="A160" s="1" t="s">
        <v>187</v>
      </c>
      <c r="B160" s="1" t="s">
        <v>31</v>
      </c>
      <c r="C160" s="1" t="s">
        <v>20</v>
      </c>
      <c r="D160" s="1">
        <v>1213</v>
      </c>
      <c r="E160" s="1">
        <v>410.59</v>
      </c>
      <c r="F160" s="1">
        <v>36.11</v>
      </c>
      <c r="G160" s="1">
        <v>36</v>
      </c>
      <c r="H160" s="1" t="s">
        <v>12</v>
      </c>
      <c r="I160" s="1" t="s">
        <v>18</v>
      </c>
    </row>
    <row r="161" spans="1:9" x14ac:dyDescent="0.3">
      <c r="A161" s="1" t="s">
        <v>188</v>
      </c>
      <c r="B161" s="1" t="s">
        <v>10</v>
      </c>
      <c r="C161" s="1" t="s">
        <v>27</v>
      </c>
      <c r="D161" s="1">
        <v>4058</v>
      </c>
      <c r="E161" s="1">
        <v>137.4</v>
      </c>
      <c r="F161" s="1">
        <v>17.93</v>
      </c>
      <c r="G161" s="1">
        <v>9</v>
      </c>
      <c r="H161" s="1" t="s">
        <v>17</v>
      </c>
      <c r="I161" s="1" t="s">
        <v>18</v>
      </c>
    </row>
    <row r="162" spans="1:9" x14ac:dyDescent="0.3">
      <c r="A162" s="1" t="s">
        <v>189</v>
      </c>
      <c r="B162" s="1" t="s">
        <v>47</v>
      </c>
      <c r="C162" s="1" t="s">
        <v>16</v>
      </c>
      <c r="D162" s="1">
        <v>2005</v>
      </c>
      <c r="E162" s="1">
        <v>476.59</v>
      </c>
      <c r="F162" s="1">
        <v>15.92</v>
      </c>
      <c r="G162" s="1">
        <v>6</v>
      </c>
      <c r="H162" s="1" t="s">
        <v>12</v>
      </c>
      <c r="I162" s="1" t="s">
        <v>18</v>
      </c>
    </row>
    <row r="163" spans="1:9" x14ac:dyDescent="0.3">
      <c r="A163" s="1" t="s">
        <v>190</v>
      </c>
      <c r="B163" s="1" t="s">
        <v>47</v>
      </c>
      <c r="C163" s="1" t="s">
        <v>27</v>
      </c>
      <c r="D163" s="1">
        <v>417</v>
      </c>
      <c r="E163" s="1">
        <v>9.49</v>
      </c>
      <c r="F163" s="1">
        <v>13.55</v>
      </c>
      <c r="G163" s="1">
        <v>35</v>
      </c>
      <c r="H163" s="1" t="s">
        <v>24</v>
      </c>
      <c r="I163" s="1" t="s">
        <v>18</v>
      </c>
    </row>
    <row r="164" spans="1:9" x14ac:dyDescent="0.3">
      <c r="A164" s="1" t="s">
        <v>191</v>
      </c>
      <c r="B164" s="1" t="s">
        <v>31</v>
      </c>
      <c r="C164" s="1" t="s">
        <v>16</v>
      </c>
      <c r="D164" s="1">
        <v>1724</v>
      </c>
      <c r="E164" s="1">
        <v>250.76</v>
      </c>
      <c r="F164" s="1">
        <v>11.48</v>
      </c>
      <c r="G164" s="1">
        <v>19</v>
      </c>
      <c r="H164" s="1" t="s">
        <v>24</v>
      </c>
      <c r="I164" s="1" t="s">
        <v>18</v>
      </c>
    </row>
    <row r="165" spans="1:9" x14ac:dyDescent="0.3">
      <c r="A165" s="1" t="s">
        <v>192</v>
      </c>
      <c r="B165" s="1" t="s">
        <v>29</v>
      </c>
      <c r="C165" s="1" t="s">
        <v>20</v>
      </c>
      <c r="D165" s="1">
        <v>4313</v>
      </c>
      <c r="E165" s="1">
        <v>385.53</v>
      </c>
      <c r="F165" s="1">
        <v>27.17</v>
      </c>
      <c r="G165" s="1">
        <v>32</v>
      </c>
      <c r="H165" s="1" t="s">
        <v>24</v>
      </c>
      <c r="I165" s="1" t="s">
        <v>13</v>
      </c>
    </row>
    <row r="166" spans="1:9" x14ac:dyDescent="0.3">
      <c r="A166" s="1" t="s">
        <v>193</v>
      </c>
      <c r="B166" s="1" t="s">
        <v>31</v>
      </c>
      <c r="C166" s="1" t="s">
        <v>42</v>
      </c>
      <c r="D166" s="1">
        <v>3389</v>
      </c>
      <c r="E166" s="1">
        <v>131.19</v>
      </c>
      <c r="F166" s="1">
        <v>34.32</v>
      </c>
      <c r="G166" s="1">
        <v>36</v>
      </c>
      <c r="H166" s="1" t="s">
        <v>24</v>
      </c>
      <c r="I166" s="1" t="s">
        <v>21</v>
      </c>
    </row>
    <row r="167" spans="1:9" x14ac:dyDescent="0.3">
      <c r="A167" s="1" t="s">
        <v>194</v>
      </c>
      <c r="B167" s="1" t="s">
        <v>23</v>
      </c>
      <c r="C167" s="1" t="s">
        <v>32</v>
      </c>
      <c r="D167" s="1">
        <v>1660</v>
      </c>
      <c r="E167" s="1">
        <v>173.41</v>
      </c>
      <c r="F167" s="1">
        <v>8.6199999999999992</v>
      </c>
      <c r="G167" s="1">
        <v>17</v>
      </c>
      <c r="H167" s="1" t="s">
        <v>12</v>
      </c>
      <c r="I167" s="1" t="s">
        <v>21</v>
      </c>
    </row>
    <row r="168" spans="1:9" x14ac:dyDescent="0.3">
      <c r="A168" s="1" t="s">
        <v>195</v>
      </c>
      <c r="B168" s="1" t="s">
        <v>29</v>
      </c>
      <c r="C168" s="1" t="s">
        <v>16</v>
      </c>
      <c r="D168" s="1">
        <v>1283</v>
      </c>
      <c r="E168" s="1">
        <v>187.2</v>
      </c>
      <c r="F168" s="1">
        <v>10.59</v>
      </c>
      <c r="G168" s="1">
        <v>11</v>
      </c>
      <c r="H168" s="1" t="s">
        <v>17</v>
      </c>
      <c r="I168" s="1" t="s">
        <v>21</v>
      </c>
    </row>
    <row r="169" spans="1:9" x14ac:dyDescent="0.3">
      <c r="A169" s="1" t="s">
        <v>196</v>
      </c>
      <c r="B169" s="1" t="s">
        <v>34</v>
      </c>
      <c r="C169" s="1" t="s">
        <v>42</v>
      </c>
      <c r="D169" s="1">
        <v>2495</v>
      </c>
      <c r="E169" s="1">
        <v>262.14999999999998</v>
      </c>
      <c r="F169" s="1">
        <v>39.71</v>
      </c>
      <c r="G169" s="1">
        <v>25</v>
      </c>
      <c r="H169" s="1" t="s">
        <v>17</v>
      </c>
      <c r="I169" s="1" t="s">
        <v>18</v>
      </c>
    </row>
    <row r="170" spans="1:9" x14ac:dyDescent="0.3">
      <c r="A170" s="1" t="s">
        <v>197</v>
      </c>
      <c r="B170" s="1" t="s">
        <v>10</v>
      </c>
      <c r="C170" s="1" t="s">
        <v>40</v>
      </c>
      <c r="D170" s="1">
        <v>1414</v>
      </c>
      <c r="E170" s="1">
        <v>194</v>
      </c>
      <c r="F170" s="1">
        <v>23.59</v>
      </c>
      <c r="G170" s="1">
        <v>25</v>
      </c>
      <c r="H170" s="1" t="s">
        <v>12</v>
      </c>
      <c r="I170" s="1" t="s">
        <v>13</v>
      </c>
    </row>
    <row r="171" spans="1:9" x14ac:dyDescent="0.3">
      <c r="A171" s="1" t="s">
        <v>198</v>
      </c>
      <c r="B171" s="1" t="s">
        <v>23</v>
      </c>
      <c r="C171" s="1" t="s">
        <v>42</v>
      </c>
      <c r="D171" s="1">
        <v>2221</v>
      </c>
      <c r="E171" s="1">
        <v>437.17</v>
      </c>
      <c r="F171" s="1">
        <v>7.96</v>
      </c>
      <c r="G171" s="1">
        <v>45</v>
      </c>
      <c r="H171" s="1" t="s">
        <v>12</v>
      </c>
      <c r="I171" s="1" t="s">
        <v>13</v>
      </c>
    </row>
    <row r="172" spans="1:9" x14ac:dyDescent="0.3">
      <c r="A172" s="1" t="s">
        <v>199</v>
      </c>
      <c r="B172" s="1" t="s">
        <v>23</v>
      </c>
      <c r="C172" s="1" t="s">
        <v>16</v>
      </c>
      <c r="D172" s="1">
        <v>4009</v>
      </c>
      <c r="E172" s="1">
        <v>180.71</v>
      </c>
      <c r="F172" s="1">
        <v>6.45</v>
      </c>
      <c r="G172" s="1">
        <v>6</v>
      </c>
      <c r="H172" s="1" t="s">
        <v>12</v>
      </c>
      <c r="I172" s="1" t="s">
        <v>13</v>
      </c>
    </row>
    <row r="173" spans="1:9" x14ac:dyDescent="0.3">
      <c r="A173" s="1" t="s">
        <v>200</v>
      </c>
      <c r="B173" s="1" t="s">
        <v>47</v>
      </c>
      <c r="C173" s="1" t="s">
        <v>27</v>
      </c>
      <c r="D173" s="1">
        <v>3341</v>
      </c>
      <c r="E173" s="1">
        <v>8.57</v>
      </c>
      <c r="F173" s="1">
        <v>18.329999999999998</v>
      </c>
      <c r="G173" s="1">
        <v>44</v>
      </c>
      <c r="H173" s="1" t="s">
        <v>17</v>
      </c>
      <c r="I173" s="1" t="s">
        <v>18</v>
      </c>
    </row>
    <row r="174" spans="1:9" x14ac:dyDescent="0.3">
      <c r="A174" s="1" t="s">
        <v>201</v>
      </c>
      <c r="B174" s="1" t="s">
        <v>47</v>
      </c>
      <c r="C174" s="1" t="s">
        <v>16</v>
      </c>
      <c r="D174" s="1">
        <v>3211</v>
      </c>
      <c r="E174" s="1">
        <v>215.64</v>
      </c>
      <c r="F174" s="1">
        <v>33.44</v>
      </c>
      <c r="G174" s="1">
        <v>17</v>
      </c>
      <c r="H174" s="1" t="s">
        <v>17</v>
      </c>
      <c r="I174" s="1" t="s">
        <v>13</v>
      </c>
    </row>
    <row r="175" spans="1:9" x14ac:dyDescent="0.3">
      <c r="A175" s="1" t="s">
        <v>202</v>
      </c>
      <c r="B175" s="1" t="s">
        <v>34</v>
      </c>
      <c r="C175" s="1" t="s">
        <v>16</v>
      </c>
      <c r="D175" s="1">
        <v>2928</v>
      </c>
      <c r="E175" s="1">
        <v>176.82</v>
      </c>
      <c r="F175" s="1">
        <v>15.73</v>
      </c>
      <c r="G175" s="1">
        <v>50</v>
      </c>
      <c r="H175" s="1" t="s">
        <v>12</v>
      </c>
      <c r="I175" s="1" t="s">
        <v>18</v>
      </c>
    </row>
    <row r="176" spans="1:9" x14ac:dyDescent="0.3">
      <c r="A176" s="1" t="s">
        <v>203</v>
      </c>
      <c r="B176" s="1" t="s">
        <v>15</v>
      </c>
      <c r="C176" s="1" t="s">
        <v>40</v>
      </c>
      <c r="D176" s="1">
        <v>3164</v>
      </c>
      <c r="E176" s="1">
        <v>238.59</v>
      </c>
      <c r="F176" s="1">
        <v>8.66</v>
      </c>
      <c r="G176" s="1">
        <v>42</v>
      </c>
      <c r="H176" s="1" t="s">
        <v>12</v>
      </c>
      <c r="I176" s="1" t="s">
        <v>13</v>
      </c>
    </row>
    <row r="177" spans="1:9" x14ac:dyDescent="0.3">
      <c r="A177" s="1" t="s">
        <v>204</v>
      </c>
      <c r="B177" s="1" t="s">
        <v>34</v>
      </c>
      <c r="C177" s="1" t="s">
        <v>20</v>
      </c>
      <c r="D177" s="1">
        <v>3225</v>
      </c>
      <c r="E177" s="1">
        <v>144</v>
      </c>
      <c r="F177" s="1">
        <v>37.44</v>
      </c>
      <c r="G177" s="1">
        <v>50</v>
      </c>
      <c r="H177" s="1" t="s">
        <v>17</v>
      </c>
      <c r="I177" s="1" t="s">
        <v>21</v>
      </c>
    </row>
    <row r="178" spans="1:9" x14ac:dyDescent="0.3">
      <c r="A178" s="1" t="s">
        <v>205</v>
      </c>
      <c r="B178" s="1" t="s">
        <v>10</v>
      </c>
      <c r="C178" s="1" t="s">
        <v>42</v>
      </c>
      <c r="D178" s="1">
        <v>1931</v>
      </c>
      <c r="E178" s="1">
        <v>326.02</v>
      </c>
      <c r="F178" s="1">
        <v>10.34</v>
      </c>
      <c r="G178" s="1">
        <v>8</v>
      </c>
      <c r="H178" s="1" t="s">
        <v>17</v>
      </c>
      <c r="I178" s="1" t="s">
        <v>21</v>
      </c>
    </row>
    <row r="179" spans="1:9" x14ac:dyDescent="0.3">
      <c r="A179" s="1" t="s">
        <v>206</v>
      </c>
      <c r="B179" s="1" t="s">
        <v>47</v>
      </c>
      <c r="C179" s="1" t="s">
        <v>27</v>
      </c>
      <c r="D179" s="1">
        <v>1820</v>
      </c>
      <c r="E179" s="1">
        <v>406.53</v>
      </c>
      <c r="F179" s="1">
        <v>25.78</v>
      </c>
      <c r="G179" s="1">
        <v>46</v>
      </c>
      <c r="H179" s="1" t="s">
        <v>12</v>
      </c>
      <c r="I179" s="1" t="s">
        <v>21</v>
      </c>
    </row>
    <row r="180" spans="1:9" x14ac:dyDescent="0.3">
      <c r="A180" s="1" t="s">
        <v>207</v>
      </c>
      <c r="B180" s="1" t="s">
        <v>34</v>
      </c>
      <c r="C180" s="1" t="s">
        <v>32</v>
      </c>
      <c r="D180" s="1">
        <v>576</v>
      </c>
      <c r="E180" s="1">
        <v>327.33999999999997</v>
      </c>
      <c r="F180" s="1">
        <v>13.73</v>
      </c>
      <c r="G180" s="1">
        <v>36</v>
      </c>
      <c r="H180" s="1" t="s">
        <v>24</v>
      </c>
      <c r="I180" s="1" t="s">
        <v>21</v>
      </c>
    </row>
    <row r="181" spans="1:9" x14ac:dyDescent="0.3">
      <c r="A181" s="1" t="s">
        <v>208</v>
      </c>
      <c r="B181" s="1" t="s">
        <v>10</v>
      </c>
      <c r="C181" s="1" t="s">
        <v>32</v>
      </c>
      <c r="D181" s="1">
        <v>3904</v>
      </c>
      <c r="E181" s="1">
        <v>302.16000000000003</v>
      </c>
      <c r="F181" s="1">
        <v>15</v>
      </c>
      <c r="G181" s="1">
        <v>1</v>
      </c>
      <c r="H181" s="1" t="s">
        <v>12</v>
      </c>
      <c r="I181" s="1" t="s">
        <v>21</v>
      </c>
    </row>
    <row r="182" spans="1:9" x14ac:dyDescent="0.3">
      <c r="A182" s="1" t="s">
        <v>209</v>
      </c>
      <c r="B182" s="1" t="s">
        <v>47</v>
      </c>
      <c r="C182" s="1" t="s">
        <v>27</v>
      </c>
      <c r="D182" s="1">
        <v>1587</v>
      </c>
      <c r="E182" s="1">
        <v>104.03</v>
      </c>
      <c r="F182" s="1">
        <v>8.56</v>
      </c>
      <c r="G182" s="1">
        <v>26</v>
      </c>
      <c r="H182" s="1" t="s">
        <v>17</v>
      </c>
      <c r="I182" s="1" t="s">
        <v>21</v>
      </c>
    </row>
    <row r="183" spans="1:9" x14ac:dyDescent="0.3">
      <c r="A183" s="1" t="s">
        <v>210</v>
      </c>
      <c r="B183" s="1" t="s">
        <v>23</v>
      </c>
      <c r="C183" s="1" t="s">
        <v>20</v>
      </c>
      <c r="D183" s="1">
        <v>724</v>
      </c>
      <c r="E183" s="1">
        <v>361.73</v>
      </c>
      <c r="F183" s="1">
        <v>15.22</v>
      </c>
      <c r="G183" s="1">
        <v>14</v>
      </c>
      <c r="H183" s="1" t="s">
        <v>12</v>
      </c>
      <c r="I183" s="1" t="s">
        <v>13</v>
      </c>
    </row>
    <row r="184" spans="1:9" x14ac:dyDescent="0.3">
      <c r="A184" s="1" t="s">
        <v>211</v>
      </c>
      <c r="B184" s="1" t="s">
        <v>10</v>
      </c>
      <c r="C184" s="1" t="s">
        <v>32</v>
      </c>
      <c r="D184" s="1">
        <v>4460</v>
      </c>
      <c r="E184" s="1">
        <v>182.44</v>
      </c>
      <c r="F184" s="1">
        <v>17.18</v>
      </c>
      <c r="G184" s="1">
        <v>17</v>
      </c>
      <c r="H184" s="1" t="s">
        <v>12</v>
      </c>
      <c r="I184" s="1" t="s">
        <v>18</v>
      </c>
    </row>
    <row r="185" spans="1:9" x14ac:dyDescent="0.3">
      <c r="A185" s="1" t="s">
        <v>212</v>
      </c>
      <c r="B185" s="1" t="s">
        <v>15</v>
      </c>
      <c r="C185" s="1" t="s">
        <v>11</v>
      </c>
      <c r="D185" s="1">
        <v>329</v>
      </c>
      <c r="E185" s="1">
        <v>7.12</v>
      </c>
      <c r="F185" s="1">
        <v>28.93</v>
      </c>
      <c r="G185" s="1">
        <v>45</v>
      </c>
      <c r="H185" s="1" t="s">
        <v>24</v>
      </c>
      <c r="I185" s="1" t="s">
        <v>18</v>
      </c>
    </row>
    <row r="186" spans="1:9" x14ac:dyDescent="0.3">
      <c r="A186" s="1" t="s">
        <v>213</v>
      </c>
      <c r="B186" s="1" t="s">
        <v>47</v>
      </c>
      <c r="C186" s="1" t="s">
        <v>32</v>
      </c>
      <c r="D186" s="1">
        <v>4780</v>
      </c>
      <c r="E186" s="1">
        <v>15.05</v>
      </c>
      <c r="F186" s="1">
        <v>17.63</v>
      </c>
      <c r="G186" s="1">
        <v>18</v>
      </c>
      <c r="H186" s="1" t="s">
        <v>17</v>
      </c>
      <c r="I186" s="1" t="s">
        <v>13</v>
      </c>
    </row>
    <row r="187" spans="1:9" x14ac:dyDescent="0.3">
      <c r="A187" s="1" t="s">
        <v>214</v>
      </c>
      <c r="B187" s="1" t="s">
        <v>15</v>
      </c>
      <c r="C187" s="1" t="s">
        <v>40</v>
      </c>
      <c r="D187" s="1">
        <v>4925</v>
      </c>
      <c r="E187" s="1">
        <v>145.1</v>
      </c>
      <c r="F187" s="1">
        <v>18.420000000000002</v>
      </c>
      <c r="G187" s="1">
        <v>10</v>
      </c>
      <c r="H187" s="1" t="s">
        <v>17</v>
      </c>
      <c r="I187" s="1" t="s">
        <v>13</v>
      </c>
    </row>
    <row r="188" spans="1:9" x14ac:dyDescent="0.3">
      <c r="A188" s="1" t="s">
        <v>215</v>
      </c>
      <c r="B188" s="1" t="s">
        <v>15</v>
      </c>
      <c r="C188" s="1" t="s">
        <v>27</v>
      </c>
      <c r="D188" s="1">
        <v>2301</v>
      </c>
      <c r="E188" s="1">
        <v>359.48</v>
      </c>
      <c r="F188" s="1">
        <v>5.51</v>
      </c>
      <c r="G188" s="1">
        <v>13</v>
      </c>
      <c r="H188" s="1" t="s">
        <v>24</v>
      </c>
      <c r="I188" s="1" t="s">
        <v>21</v>
      </c>
    </row>
    <row r="189" spans="1:9" x14ac:dyDescent="0.3">
      <c r="A189" s="1" t="s">
        <v>216</v>
      </c>
      <c r="B189" s="1" t="s">
        <v>15</v>
      </c>
      <c r="C189" s="1" t="s">
        <v>40</v>
      </c>
      <c r="D189" s="1">
        <v>1349</v>
      </c>
      <c r="E189" s="1">
        <v>231.75</v>
      </c>
      <c r="F189" s="1">
        <v>17.100000000000001</v>
      </c>
      <c r="G189" s="1">
        <v>31</v>
      </c>
      <c r="H189" s="1" t="s">
        <v>17</v>
      </c>
      <c r="I189" s="1" t="s">
        <v>18</v>
      </c>
    </row>
    <row r="190" spans="1:9" x14ac:dyDescent="0.3">
      <c r="A190" s="1" t="s">
        <v>217</v>
      </c>
      <c r="B190" s="1" t="s">
        <v>47</v>
      </c>
      <c r="C190" s="1" t="s">
        <v>42</v>
      </c>
      <c r="D190" s="1">
        <v>4004</v>
      </c>
      <c r="E190" s="1">
        <v>201.12</v>
      </c>
      <c r="F190" s="1">
        <v>30.39</v>
      </c>
      <c r="G190" s="1">
        <v>5</v>
      </c>
      <c r="H190" s="1" t="s">
        <v>17</v>
      </c>
      <c r="I190" s="1" t="s">
        <v>21</v>
      </c>
    </row>
    <row r="191" spans="1:9" x14ac:dyDescent="0.3">
      <c r="A191" s="1" t="s">
        <v>218</v>
      </c>
      <c r="B191" s="1" t="s">
        <v>23</v>
      </c>
      <c r="C191" s="1" t="s">
        <v>27</v>
      </c>
      <c r="D191" s="1">
        <v>4413</v>
      </c>
      <c r="E191" s="1">
        <v>449.22</v>
      </c>
      <c r="F191" s="1">
        <v>7.41</v>
      </c>
      <c r="G191" s="1">
        <v>18</v>
      </c>
      <c r="H191" s="1" t="s">
        <v>17</v>
      </c>
      <c r="I191" s="1" t="s">
        <v>18</v>
      </c>
    </row>
    <row r="192" spans="1:9" x14ac:dyDescent="0.3">
      <c r="A192" s="1" t="s">
        <v>219</v>
      </c>
      <c r="B192" s="1" t="s">
        <v>29</v>
      </c>
      <c r="C192" s="1" t="s">
        <v>42</v>
      </c>
      <c r="D192" s="1">
        <v>263</v>
      </c>
      <c r="E192" s="1">
        <v>59.34</v>
      </c>
      <c r="F192" s="1">
        <v>29.22</v>
      </c>
      <c r="G192" s="1">
        <v>19</v>
      </c>
      <c r="H192" s="1" t="s">
        <v>24</v>
      </c>
      <c r="I192" s="1" t="s">
        <v>21</v>
      </c>
    </row>
    <row r="193" spans="1:9" x14ac:dyDescent="0.3">
      <c r="A193" s="1" t="s">
        <v>220</v>
      </c>
      <c r="B193" s="1" t="s">
        <v>23</v>
      </c>
      <c r="C193" s="1" t="s">
        <v>16</v>
      </c>
      <c r="D193" s="1">
        <v>4974</v>
      </c>
      <c r="E193" s="1">
        <v>269.68</v>
      </c>
      <c r="F193" s="1">
        <v>23.44</v>
      </c>
      <c r="G193" s="1">
        <v>41</v>
      </c>
      <c r="H193" s="1" t="s">
        <v>17</v>
      </c>
      <c r="I193" s="1" t="s">
        <v>13</v>
      </c>
    </row>
    <row r="194" spans="1:9" x14ac:dyDescent="0.3">
      <c r="A194" s="1" t="s">
        <v>221</v>
      </c>
      <c r="B194" s="1" t="s">
        <v>34</v>
      </c>
      <c r="C194" s="1" t="s">
        <v>42</v>
      </c>
      <c r="D194" s="1">
        <v>2289</v>
      </c>
      <c r="E194" s="1">
        <v>292.88</v>
      </c>
      <c r="F194" s="1">
        <v>23.74</v>
      </c>
      <c r="G194" s="1">
        <v>38</v>
      </c>
      <c r="H194" s="1" t="s">
        <v>12</v>
      </c>
      <c r="I194" s="1" t="s">
        <v>21</v>
      </c>
    </row>
    <row r="195" spans="1:9" x14ac:dyDescent="0.3">
      <c r="A195" s="1" t="s">
        <v>222</v>
      </c>
      <c r="B195" s="1" t="s">
        <v>47</v>
      </c>
      <c r="C195" s="1" t="s">
        <v>20</v>
      </c>
      <c r="D195" s="1">
        <v>1408</v>
      </c>
      <c r="E195" s="1">
        <v>331.12</v>
      </c>
      <c r="F195" s="1">
        <v>32.35</v>
      </c>
      <c r="G195" s="1">
        <v>46</v>
      </c>
      <c r="H195" s="1" t="s">
        <v>17</v>
      </c>
      <c r="I195" s="1" t="s">
        <v>21</v>
      </c>
    </row>
    <row r="196" spans="1:9" x14ac:dyDescent="0.3">
      <c r="A196" s="1" t="s">
        <v>223</v>
      </c>
      <c r="B196" s="1" t="s">
        <v>47</v>
      </c>
      <c r="C196" s="1" t="s">
        <v>20</v>
      </c>
      <c r="D196" s="1">
        <v>1427</v>
      </c>
      <c r="E196" s="1">
        <v>54.15</v>
      </c>
      <c r="F196" s="1">
        <v>6.35</v>
      </c>
      <c r="G196" s="1">
        <v>48</v>
      </c>
      <c r="H196" s="1" t="s">
        <v>17</v>
      </c>
      <c r="I196" s="1" t="s">
        <v>21</v>
      </c>
    </row>
    <row r="197" spans="1:9" x14ac:dyDescent="0.3">
      <c r="A197" s="1" t="s">
        <v>224</v>
      </c>
      <c r="B197" s="1" t="s">
        <v>31</v>
      </c>
      <c r="C197" s="1" t="s">
        <v>40</v>
      </c>
      <c r="D197" s="1">
        <v>2144</v>
      </c>
      <c r="E197" s="1">
        <v>32.5</v>
      </c>
      <c r="F197" s="1">
        <v>12</v>
      </c>
      <c r="G197" s="1">
        <v>44</v>
      </c>
      <c r="H197" s="1" t="s">
        <v>17</v>
      </c>
      <c r="I197" s="1" t="s">
        <v>13</v>
      </c>
    </row>
    <row r="198" spans="1:9" x14ac:dyDescent="0.3">
      <c r="A198" s="1" t="s">
        <v>225</v>
      </c>
      <c r="B198" s="1" t="s">
        <v>47</v>
      </c>
      <c r="C198" s="1" t="s">
        <v>20</v>
      </c>
      <c r="D198" s="1">
        <v>2784</v>
      </c>
      <c r="E198" s="1">
        <v>373.9</v>
      </c>
      <c r="F198" s="1">
        <v>11.8</v>
      </c>
      <c r="G198" s="1">
        <v>38</v>
      </c>
      <c r="H198" s="1" t="s">
        <v>12</v>
      </c>
      <c r="I198" s="1" t="s">
        <v>21</v>
      </c>
    </row>
    <row r="199" spans="1:9" x14ac:dyDescent="0.3">
      <c r="A199" s="1" t="s">
        <v>226</v>
      </c>
      <c r="B199" s="1" t="s">
        <v>47</v>
      </c>
      <c r="C199" s="1" t="s">
        <v>11</v>
      </c>
      <c r="D199" s="1">
        <v>2107</v>
      </c>
      <c r="E199" s="1">
        <v>63.93</v>
      </c>
      <c r="F199" s="1">
        <v>7.39</v>
      </c>
      <c r="G199" s="1">
        <v>25</v>
      </c>
      <c r="H199" s="1" t="s">
        <v>17</v>
      </c>
      <c r="I199" s="1" t="s">
        <v>18</v>
      </c>
    </row>
    <row r="200" spans="1:9" x14ac:dyDescent="0.3">
      <c r="A200" s="1" t="s">
        <v>227</v>
      </c>
      <c r="B200" s="1" t="s">
        <v>15</v>
      </c>
      <c r="C200" s="1" t="s">
        <v>42</v>
      </c>
      <c r="D200" s="1">
        <v>4165</v>
      </c>
      <c r="E200" s="1">
        <v>463.08</v>
      </c>
      <c r="F200" s="1">
        <v>27.62</v>
      </c>
      <c r="G200" s="1">
        <v>4</v>
      </c>
      <c r="H200" s="1" t="s">
        <v>12</v>
      </c>
      <c r="I200" s="1" t="s">
        <v>13</v>
      </c>
    </row>
    <row r="201" spans="1:9" x14ac:dyDescent="0.3">
      <c r="A201" s="1" t="s">
        <v>228</v>
      </c>
      <c r="B201" s="1" t="s">
        <v>15</v>
      </c>
      <c r="C201" s="1" t="s">
        <v>20</v>
      </c>
      <c r="D201" s="1">
        <v>4865</v>
      </c>
      <c r="E201" s="1">
        <v>33.409999999999997</v>
      </c>
      <c r="F201" s="1">
        <v>26.61</v>
      </c>
      <c r="G201" s="1">
        <v>36</v>
      </c>
      <c r="H201" s="1" t="s">
        <v>17</v>
      </c>
      <c r="I201" s="1" t="s">
        <v>21</v>
      </c>
    </row>
    <row r="202" spans="1:9" x14ac:dyDescent="0.3">
      <c r="A202" s="1" t="s">
        <v>229</v>
      </c>
      <c r="B202" s="1" t="s">
        <v>47</v>
      </c>
      <c r="C202" s="1" t="s">
        <v>11</v>
      </c>
      <c r="D202" s="1">
        <v>2862</v>
      </c>
      <c r="E202" s="1">
        <v>310.33999999999997</v>
      </c>
      <c r="F202" s="1">
        <v>22.7</v>
      </c>
      <c r="G202" s="1">
        <v>50</v>
      </c>
      <c r="H202" s="1" t="s">
        <v>12</v>
      </c>
      <c r="I202" s="1" t="s">
        <v>13</v>
      </c>
    </row>
    <row r="203" spans="1:9" x14ac:dyDescent="0.3">
      <c r="A203" s="1" t="s">
        <v>230</v>
      </c>
      <c r="B203" s="1" t="s">
        <v>23</v>
      </c>
      <c r="C203" s="1" t="s">
        <v>27</v>
      </c>
      <c r="D203" s="1">
        <v>2467</v>
      </c>
      <c r="E203" s="1">
        <v>121.55</v>
      </c>
      <c r="F203" s="1">
        <v>23.59</v>
      </c>
      <c r="G203" s="1">
        <v>11</v>
      </c>
      <c r="H203" s="1" t="s">
        <v>17</v>
      </c>
      <c r="I203" s="1" t="s">
        <v>21</v>
      </c>
    </row>
    <row r="204" spans="1:9" x14ac:dyDescent="0.3">
      <c r="A204" s="1" t="s">
        <v>231</v>
      </c>
      <c r="B204" s="1" t="s">
        <v>15</v>
      </c>
      <c r="C204" s="1" t="s">
        <v>11</v>
      </c>
      <c r="D204" s="1">
        <v>1765</v>
      </c>
      <c r="E204" s="1">
        <v>423.36</v>
      </c>
      <c r="F204" s="1">
        <v>38.51</v>
      </c>
      <c r="G204" s="1">
        <v>13</v>
      </c>
      <c r="H204" s="1" t="s">
        <v>24</v>
      </c>
      <c r="I204" s="1" t="s">
        <v>13</v>
      </c>
    </row>
    <row r="205" spans="1:9" x14ac:dyDescent="0.3">
      <c r="A205" s="1" t="s">
        <v>232</v>
      </c>
      <c r="B205" s="1" t="s">
        <v>10</v>
      </c>
      <c r="C205" s="1" t="s">
        <v>40</v>
      </c>
      <c r="D205" s="1">
        <v>3556</v>
      </c>
      <c r="E205" s="1">
        <v>195.34</v>
      </c>
      <c r="F205" s="1">
        <v>8.2899999999999991</v>
      </c>
      <c r="G205" s="1">
        <v>38</v>
      </c>
      <c r="H205" s="1" t="s">
        <v>24</v>
      </c>
      <c r="I205" s="1" t="s">
        <v>18</v>
      </c>
    </row>
    <row r="206" spans="1:9" x14ac:dyDescent="0.3">
      <c r="A206" s="1" t="s">
        <v>233</v>
      </c>
      <c r="B206" s="1" t="s">
        <v>23</v>
      </c>
      <c r="C206" s="1" t="s">
        <v>11</v>
      </c>
      <c r="D206" s="1">
        <v>356</v>
      </c>
      <c r="E206" s="1">
        <v>201.69</v>
      </c>
      <c r="F206" s="1">
        <v>19.95</v>
      </c>
      <c r="G206" s="1">
        <v>37</v>
      </c>
      <c r="H206" s="1" t="s">
        <v>17</v>
      </c>
      <c r="I206" s="1" t="s">
        <v>21</v>
      </c>
    </row>
    <row r="207" spans="1:9" x14ac:dyDescent="0.3">
      <c r="A207" s="1" t="s">
        <v>234</v>
      </c>
      <c r="B207" s="1" t="s">
        <v>10</v>
      </c>
      <c r="C207" s="1" t="s">
        <v>11</v>
      </c>
      <c r="D207" s="1">
        <v>4842</v>
      </c>
      <c r="E207" s="1">
        <v>312.17</v>
      </c>
      <c r="F207" s="1">
        <v>35.36</v>
      </c>
      <c r="G207" s="1">
        <v>47</v>
      </c>
      <c r="H207" s="1" t="s">
        <v>12</v>
      </c>
      <c r="I207" s="1" t="s">
        <v>18</v>
      </c>
    </row>
    <row r="208" spans="1:9" x14ac:dyDescent="0.3">
      <c r="A208" s="1" t="s">
        <v>235</v>
      </c>
      <c r="B208" s="1" t="s">
        <v>10</v>
      </c>
      <c r="C208" s="1" t="s">
        <v>20</v>
      </c>
      <c r="D208" s="1">
        <v>4589</v>
      </c>
      <c r="E208" s="1">
        <v>151.18</v>
      </c>
      <c r="F208" s="1">
        <v>25.36</v>
      </c>
      <c r="G208" s="1">
        <v>3</v>
      </c>
      <c r="H208" s="1" t="s">
        <v>17</v>
      </c>
      <c r="I208" s="1" t="s">
        <v>18</v>
      </c>
    </row>
    <row r="209" spans="1:9" x14ac:dyDescent="0.3">
      <c r="A209" s="1" t="s">
        <v>236</v>
      </c>
      <c r="B209" s="1" t="s">
        <v>23</v>
      </c>
      <c r="C209" s="1" t="s">
        <v>11</v>
      </c>
      <c r="D209" s="1">
        <v>2772</v>
      </c>
      <c r="E209" s="1">
        <v>15.35</v>
      </c>
      <c r="F209" s="1">
        <v>15.44</v>
      </c>
      <c r="G209" s="1">
        <v>43</v>
      </c>
      <c r="H209" s="1" t="s">
        <v>24</v>
      </c>
      <c r="I209" s="1" t="s">
        <v>21</v>
      </c>
    </row>
    <row r="210" spans="1:9" x14ac:dyDescent="0.3">
      <c r="A210" s="1" t="s">
        <v>237</v>
      </c>
      <c r="B210" s="1" t="s">
        <v>34</v>
      </c>
      <c r="C210" s="1" t="s">
        <v>32</v>
      </c>
      <c r="D210" s="1">
        <v>4036</v>
      </c>
      <c r="E210" s="1">
        <v>496.24</v>
      </c>
      <c r="F210" s="1">
        <v>37.229999999999997</v>
      </c>
      <c r="G210" s="1">
        <v>5</v>
      </c>
      <c r="H210" s="1" t="s">
        <v>24</v>
      </c>
      <c r="I210" s="1" t="s">
        <v>21</v>
      </c>
    </row>
    <row r="211" spans="1:9" x14ac:dyDescent="0.3">
      <c r="A211" s="1" t="s">
        <v>238</v>
      </c>
      <c r="B211" s="1" t="s">
        <v>15</v>
      </c>
      <c r="C211" s="1" t="s">
        <v>27</v>
      </c>
      <c r="D211" s="1">
        <v>2015</v>
      </c>
      <c r="E211" s="1">
        <v>439.28</v>
      </c>
      <c r="F211" s="1">
        <v>22.74</v>
      </c>
      <c r="G211" s="1">
        <v>3</v>
      </c>
      <c r="H211" s="1" t="s">
        <v>24</v>
      </c>
      <c r="I211" s="1" t="s">
        <v>21</v>
      </c>
    </row>
    <row r="212" spans="1:9" x14ac:dyDescent="0.3">
      <c r="A212" s="1" t="s">
        <v>239</v>
      </c>
      <c r="B212" s="1" t="s">
        <v>10</v>
      </c>
      <c r="C212" s="1" t="s">
        <v>16</v>
      </c>
      <c r="D212" s="1">
        <v>2952</v>
      </c>
      <c r="E212" s="1">
        <v>242.02</v>
      </c>
      <c r="F212" s="1">
        <v>18.77</v>
      </c>
      <c r="G212" s="1">
        <v>8</v>
      </c>
      <c r="H212" s="1" t="s">
        <v>12</v>
      </c>
      <c r="I212" s="1" t="s">
        <v>21</v>
      </c>
    </row>
    <row r="213" spans="1:9" x14ac:dyDescent="0.3">
      <c r="A213" s="1" t="s">
        <v>240</v>
      </c>
      <c r="B213" s="1" t="s">
        <v>31</v>
      </c>
      <c r="C213" s="1" t="s">
        <v>27</v>
      </c>
      <c r="D213" s="1">
        <v>1301</v>
      </c>
      <c r="E213" s="1">
        <v>254.94</v>
      </c>
      <c r="F213" s="1">
        <v>30.04</v>
      </c>
      <c r="G213" s="1">
        <v>46</v>
      </c>
      <c r="H213" s="1" t="s">
        <v>24</v>
      </c>
      <c r="I213" s="1" t="s">
        <v>21</v>
      </c>
    </row>
    <row r="214" spans="1:9" x14ac:dyDescent="0.3">
      <c r="A214" s="1" t="s">
        <v>241</v>
      </c>
      <c r="B214" s="1" t="s">
        <v>29</v>
      </c>
      <c r="C214" s="1" t="s">
        <v>11</v>
      </c>
      <c r="D214" s="1">
        <v>2659</v>
      </c>
      <c r="E214" s="1">
        <v>469.32</v>
      </c>
      <c r="F214" s="1">
        <v>37.200000000000003</v>
      </c>
      <c r="G214" s="1">
        <v>36</v>
      </c>
      <c r="H214" s="1" t="s">
        <v>24</v>
      </c>
      <c r="I214" s="1" t="s">
        <v>21</v>
      </c>
    </row>
    <row r="215" spans="1:9" x14ac:dyDescent="0.3">
      <c r="A215" s="1" t="s">
        <v>242</v>
      </c>
      <c r="B215" s="1" t="s">
        <v>47</v>
      </c>
      <c r="C215" s="1" t="s">
        <v>40</v>
      </c>
      <c r="D215" s="1">
        <v>60</v>
      </c>
      <c r="E215" s="1">
        <v>356.56</v>
      </c>
      <c r="F215" s="1">
        <v>34.92</v>
      </c>
      <c r="G215" s="1">
        <v>40</v>
      </c>
      <c r="H215" s="1" t="s">
        <v>12</v>
      </c>
      <c r="I215" s="1" t="s">
        <v>21</v>
      </c>
    </row>
    <row r="216" spans="1:9" x14ac:dyDescent="0.3">
      <c r="A216" s="1" t="s">
        <v>243</v>
      </c>
      <c r="B216" s="1" t="s">
        <v>34</v>
      </c>
      <c r="C216" s="1" t="s">
        <v>11</v>
      </c>
      <c r="D216" s="1">
        <v>1001</v>
      </c>
      <c r="E216" s="1">
        <v>314.43</v>
      </c>
      <c r="F216" s="1">
        <v>10.71</v>
      </c>
      <c r="G216" s="1">
        <v>50</v>
      </c>
      <c r="H216" s="1" t="s">
        <v>24</v>
      </c>
      <c r="I216" s="1" t="s">
        <v>21</v>
      </c>
    </row>
    <row r="217" spans="1:9" x14ac:dyDescent="0.3">
      <c r="A217" s="1" t="s">
        <v>244</v>
      </c>
      <c r="B217" s="1" t="s">
        <v>31</v>
      </c>
      <c r="C217" s="1" t="s">
        <v>42</v>
      </c>
      <c r="D217" s="1">
        <v>1975</v>
      </c>
      <c r="E217" s="1">
        <v>153.41999999999999</v>
      </c>
      <c r="F217" s="1">
        <v>20.71</v>
      </c>
      <c r="G217" s="1">
        <v>27</v>
      </c>
      <c r="H217" s="1" t="s">
        <v>17</v>
      </c>
      <c r="I217" s="1" t="s">
        <v>21</v>
      </c>
    </row>
    <row r="218" spans="1:9" x14ac:dyDescent="0.3">
      <c r="A218" s="1" t="s">
        <v>245</v>
      </c>
      <c r="B218" s="1" t="s">
        <v>10</v>
      </c>
      <c r="C218" s="1" t="s">
        <v>32</v>
      </c>
      <c r="D218" s="1">
        <v>943</v>
      </c>
      <c r="E218" s="1">
        <v>180.37</v>
      </c>
      <c r="F218" s="1">
        <v>9.26</v>
      </c>
      <c r="G218" s="1">
        <v>45</v>
      </c>
      <c r="H218" s="1" t="s">
        <v>17</v>
      </c>
      <c r="I218" s="1" t="s">
        <v>13</v>
      </c>
    </row>
    <row r="219" spans="1:9" x14ac:dyDescent="0.3">
      <c r="A219" s="1" t="s">
        <v>246</v>
      </c>
      <c r="B219" s="1" t="s">
        <v>23</v>
      </c>
      <c r="C219" s="1" t="s">
        <v>40</v>
      </c>
      <c r="D219" s="1">
        <v>3243</v>
      </c>
      <c r="E219" s="1">
        <v>239.76</v>
      </c>
      <c r="F219" s="1">
        <v>11.01</v>
      </c>
      <c r="G219" s="1">
        <v>7</v>
      </c>
      <c r="H219" s="1" t="s">
        <v>24</v>
      </c>
      <c r="I219" s="1" t="s">
        <v>13</v>
      </c>
    </row>
    <row r="220" spans="1:9" x14ac:dyDescent="0.3">
      <c r="A220" s="1" t="s">
        <v>247</v>
      </c>
      <c r="B220" s="1" t="s">
        <v>10</v>
      </c>
      <c r="C220" s="1" t="s">
        <v>16</v>
      </c>
      <c r="D220" s="1">
        <v>4495</v>
      </c>
      <c r="E220" s="1">
        <v>268.04000000000002</v>
      </c>
      <c r="F220" s="1">
        <v>17.149999999999999</v>
      </c>
      <c r="G220" s="1">
        <v>39</v>
      </c>
      <c r="H220" s="1" t="s">
        <v>12</v>
      </c>
      <c r="I220" s="1" t="s">
        <v>18</v>
      </c>
    </row>
    <row r="221" spans="1:9" x14ac:dyDescent="0.3">
      <c r="A221" s="1" t="s">
        <v>248</v>
      </c>
      <c r="B221" s="1" t="s">
        <v>15</v>
      </c>
      <c r="C221" s="1" t="s">
        <v>42</v>
      </c>
      <c r="D221" s="1">
        <v>3347</v>
      </c>
      <c r="E221" s="1">
        <v>320.63</v>
      </c>
      <c r="F221" s="1">
        <v>37.909999999999997</v>
      </c>
      <c r="G221" s="1">
        <v>24</v>
      </c>
      <c r="H221" s="1" t="s">
        <v>12</v>
      </c>
      <c r="I221" s="1" t="s">
        <v>13</v>
      </c>
    </row>
    <row r="222" spans="1:9" x14ac:dyDescent="0.3">
      <c r="A222" s="1" t="s">
        <v>249</v>
      </c>
      <c r="B222" s="1" t="s">
        <v>47</v>
      </c>
      <c r="C222" s="1" t="s">
        <v>32</v>
      </c>
      <c r="D222" s="1">
        <v>3331</v>
      </c>
      <c r="E222" s="1">
        <v>483.38</v>
      </c>
      <c r="F222" s="1">
        <v>33.96</v>
      </c>
      <c r="G222" s="1">
        <v>30</v>
      </c>
      <c r="H222" s="1" t="s">
        <v>17</v>
      </c>
      <c r="I222" s="1" t="s">
        <v>21</v>
      </c>
    </row>
    <row r="223" spans="1:9" x14ac:dyDescent="0.3">
      <c r="A223" s="1" t="s">
        <v>250</v>
      </c>
      <c r="B223" s="1" t="s">
        <v>29</v>
      </c>
      <c r="C223" s="1" t="s">
        <v>16</v>
      </c>
      <c r="D223" s="1">
        <v>852</v>
      </c>
      <c r="E223" s="1">
        <v>287.24</v>
      </c>
      <c r="F223" s="1">
        <v>18.989999999999998</v>
      </c>
      <c r="G223" s="1">
        <v>11</v>
      </c>
      <c r="H223" s="1" t="s">
        <v>12</v>
      </c>
      <c r="I223" s="1" t="s">
        <v>18</v>
      </c>
    </row>
    <row r="224" spans="1:9" x14ac:dyDescent="0.3">
      <c r="A224" s="1" t="s">
        <v>251</v>
      </c>
      <c r="B224" s="1" t="s">
        <v>47</v>
      </c>
      <c r="C224" s="1" t="s">
        <v>20</v>
      </c>
      <c r="D224" s="1">
        <v>3012</v>
      </c>
      <c r="E224" s="1">
        <v>434.66</v>
      </c>
      <c r="F224" s="1">
        <v>34.229999999999997</v>
      </c>
      <c r="G224" s="1">
        <v>13</v>
      </c>
      <c r="H224" s="1" t="s">
        <v>24</v>
      </c>
      <c r="I224" s="1" t="s">
        <v>18</v>
      </c>
    </row>
    <row r="225" spans="1:9" x14ac:dyDescent="0.3">
      <c r="A225" s="1" t="s">
        <v>252</v>
      </c>
      <c r="B225" s="1" t="s">
        <v>31</v>
      </c>
      <c r="C225" s="1" t="s">
        <v>32</v>
      </c>
      <c r="D225" s="1">
        <v>4595</v>
      </c>
      <c r="E225" s="1">
        <v>446.64</v>
      </c>
      <c r="F225" s="1">
        <v>8.83</v>
      </c>
      <c r="G225" s="1">
        <v>49</v>
      </c>
      <c r="H225" s="1" t="s">
        <v>17</v>
      </c>
      <c r="I225" s="1" t="s">
        <v>13</v>
      </c>
    </row>
    <row r="226" spans="1:9" x14ac:dyDescent="0.3">
      <c r="A226" s="1" t="s">
        <v>253</v>
      </c>
      <c r="B226" s="1" t="s">
        <v>29</v>
      </c>
      <c r="C226" s="1" t="s">
        <v>27</v>
      </c>
      <c r="D226" s="1">
        <v>4686</v>
      </c>
      <c r="E226" s="1">
        <v>411.73</v>
      </c>
      <c r="F226" s="1">
        <v>5.1100000000000003</v>
      </c>
      <c r="G226" s="1">
        <v>35</v>
      </c>
      <c r="H226" s="1" t="s">
        <v>24</v>
      </c>
      <c r="I226" s="1" t="s">
        <v>18</v>
      </c>
    </row>
    <row r="227" spans="1:9" x14ac:dyDescent="0.3">
      <c r="A227" s="1" t="s">
        <v>254</v>
      </c>
      <c r="B227" s="1" t="s">
        <v>15</v>
      </c>
      <c r="C227" s="1" t="s">
        <v>16</v>
      </c>
      <c r="D227" s="1">
        <v>4470</v>
      </c>
      <c r="E227" s="1">
        <v>401.91</v>
      </c>
      <c r="F227" s="1">
        <v>7.44</v>
      </c>
      <c r="G227" s="1">
        <v>24</v>
      </c>
      <c r="H227" s="1" t="s">
        <v>24</v>
      </c>
      <c r="I227" s="1" t="s">
        <v>18</v>
      </c>
    </row>
    <row r="228" spans="1:9" x14ac:dyDescent="0.3">
      <c r="A228" s="1" t="s">
        <v>255</v>
      </c>
      <c r="B228" s="1" t="s">
        <v>47</v>
      </c>
      <c r="C228" s="1" t="s">
        <v>11</v>
      </c>
      <c r="D228" s="1">
        <v>4294</v>
      </c>
      <c r="E228" s="1">
        <v>341.14</v>
      </c>
      <c r="F228" s="1">
        <v>27.35</v>
      </c>
      <c r="G228" s="1">
        <v>7</v>
      </c>
      <c r="H228" s="1" t="s">
        <v>17</v>
      </c>
      <c r="I228" s="1" t="s">
        <v>13</v>
      </c>
    </row>
    <row r="229" spans="1:9" x14ac:dyDescent="0.3">
      <c r="A229" s="1" t="s">
        <v>256</v>
      </c>
      <c r="B229" s="1" t="s">
        <v>47</v>
      </c>
      <c r="C229" s="1" t="s">
        <v>27</v>
      </c>
      <c r="D229" s="1">
        <v>4394</v>
      </c>
      <c r="E229" s="1">
        <v>36.68</v>
      </c>
      <c r="F229" s="1">
        <v>31.47</v>
      </c>
      <c r="G229" s="1">
        <v>34</v>
      </c>
      <c r="H229" s="1" t="s">
        <v>24</v>
      </c>
      <c r="I229" s="1" t="s">
        <v>18</v>
      </c>
    </row>
    <row r="230" spans="1:9" x14ac:dyDescent="0.3">
      <c r="A230" s="1" t="s">
        <v>257</v>
      </c>
      <c r="B230" s="1" t="s">
        <v>31</v>
      </c>
      <c r="C230" s="1" t="s">
        <v>40</v>
      </c>
      <c r="D230" s="1">
        <v>2510</v>
      </c>
      <c r="E230" s="1">
        <v>80.319999999999993</v>
      </c>
      <c r="F230" s="1">
        <v>24.62</v>
      </c>
      <c r="G230" s="1">
        <v>10</v>
      </c>
      <c r="H230" s="1" t="s">
        <v>24</v>
      </c>
      <c r="I230" s="1" t="s">
        <v>13</v>
      </c>
    </row>
    <row r="231" spans="1:9" x14ac:dyDescent="0.3">
      <c r="A231" s="1" t="s">
        <v>258</v>
      </c>
      <c r="B231" s="1" t="s">
        <v>15</v>
      </c>
      <c r="C231" s="1" t="s">
        <v>42</v>
      </c>
      <c r="D231" s="1">
        <v>2028</v>
      </c>
      <c r="E231" s="1">
        <v>475.69</v>
      </c>
      <c r="F231" s="1">
        <v>20.16</v>
      </c>
      <c r="G231" s="1">
        <v>28</v>
      </c>
      <c r="H231" s="1" t="s">
        <v>17</v>
      </c>
      <c r="I231" s="1" t="s">
        <v>18</v>
      </c>
    </row>
    <row r="232" spans="1:9" x14ac:dyDescent="0.3">
      <c r="A232" s="1" t="s">
        <v>259</v>
      </c>
      <c r="B232" s="1" t="s">
        <v>23</v>
      </c>
      <c r="C232" s="1" t="s">
        <v>27</v>
      </c>
      <c r="D232" s="1">
        <v>1134</v>
      </c>
      <c r="E232" s="1">
        <v>215.79</v>
      </c>
      <c r="F232" s="1">
        <v>9.85</v>
      </c>
      <c r="G232" s="1">
        <v>11</v>
      </c>
      <c r="H232" s="1" t="s">
        <v>24</v>
      </c>
      <c r="I232" s="1" t="s">
        <v>13</v>
      </c>
    </row>
    <row r="233" spans="1:9" x14ac:dyDescent="0.3">
      <c r="A233" s="1" t="s">
        <v>260</v>
      </c>
      <c r="B233" s="1" t="s">
        <v>47</v>
      </c>
      <c r="C233" s="1" t="s">
        <v>32</v>
      </c>
      <c r="D233" s="1">
        <v>4324</v>
      </c>
      <c r="E233" s="1">
        <v>362.51</v>
      </c>
      <c r="F233" s="1">
        <v>7.98</v>
      </c>
      <c r="G233" s="1">
        <v>10</v>
      </c>
      <c r="H233" s="1" t="s">
        <v>24</v>
      </c>
      <c r="I233" s="1" t="s">
        <v>13</v>
      </c>
    </row>
    <row r="234" spans="1:9" x14ac:dyDescent="0.3">
      <c r="A234" s="1" t="s">
        <v>261</v>
      </c>
      <c r="B234" s="1" t="s">
        <v>31</v>
      </c>
      <c r="C234" s="1" t="s">
        <v>27</v>
      </c>
      <c r="D234" s="1">
        <v>2580</v>
      </c>
      <c r="E234" s="1">
        <v>191.87</v>
      </c>
      <c r="F234" s="1">
        <v>5.26</v>
      </c>
      <c r="G234" s="1">
        <v>47</v>
      </c>
      <c r="H234" s="1" t="s">
        <v>12</v>
      </c>
      <c r="I234" s="1" t="s">
        <v>21</v>
      </c>
    </row>
    <row r="235" spans="1:9" x14ac:dyDescent="0.3">
      <c r="A235" s="1" t="s">
        <v>262</v>
      </c>
      <c r="B235" s="1" t="s">
        <v>47</v>
      </c>
      <c r="C235" s="1" t="s">
        <v>27</v>
      </c>
      <c r="D235" s="1">
        <v>561</v>
      </c>
      <c r="E235" s="1">
        <v>440.13</v>
      </c>
      <c r="F235" s="1">
        <v>38.159999999999997</v>
      </c>
      <c r="G235" s="1">
        <v>30</v>
      </c>
      <c r="H235" s="1" t="s">
        <v>12</v>
      </c>
      <c r="I235" s="1" t="s">
        <v>13</v>
      </c>
    </row>
    <row r="236" spans="1:9" x14ac:dyDescent="0.3">
      <c r="A236" s="1" t="s">
        <v>263</v>
      </c>
      <c r="B236" s="1" t="s">
        <v>47</v>
      </c>
      <c r="C236" s="1" t="s">
        <v>27</v>
      </c>
      <c r="D236" s="1">
        <v>3187</v>
      </c>
      <c r="E236" s="1">
        <v>117.03</v>
      </c>
      <c r="F236" s="1">
        <v>19.11</v>
      </c>
      <c r="G236" s="1">
        <v>39</v>
      </c>
      <c r="H236" s="1" t="s">
        <v>24</v>
      </c>
      <c r="I236" s="1" t="s">
        <v>13</v>
      </c>
    </row>
    <row r="237" spans="1:9" x14ac:dyDescent="0.3">
      <c r="A237" s="1" t="s">
        <v>264</v>
      </c>
      <c r="B237" s="1" t="s">
        <v>47</v>
      </c>
      <c r="C237" s="1" t="s">
        <v>42</v>
      </c>
      <c r="D237" s="1">
        <v>799</v>
      </c>
      <c r="E237" s="1">
        <v>418.11</v>
      </c>
      <c r="F237" s="1">
        <v>17.7</v>
      </c>
      <c r="G237" s="1">
        <v>36</v>
      </c>
      <c r="H237" s="1" t="s">
        <v>24</v>
      </c>
      <c r="I237" s="1" t="s">
        <v>18</v>
      </c>
    </row>
    <row r="238" spans="1:9" x14ac:dyDescent="0.3">
      <c r="A238" s="1" t="s">
        <v>265</v>
      </c>
      <c r="B238" s="1" t="s">
        <v>15</v>
      </c>
      <c r="C238" s="1" t="s">
        <v>40</v>
      </c>
      <c r="D238" s="1">
        <v>1093</v>
      </c>
      <c r="E238" s="1">
        <v>403.47</v>
      </c>
      <c r="F238" s="1">
        <v>39.630000000000003</v>
      </c>
      <c r="G238" s="1">
        <v>1</v>
      </c>
      <c r="H238" s="1" t="s">
        <v>12</v>
      </c>
      <c r="I238" s="1" t="s">
        <v>18</v>
      </c>
    </row>
    <row r="239" spans="1:9" x14ac:dyDescent="0.3">
      <c r="A239" s="1" t="s">
        <v>266</v>
      </c>
      <c r="B239" s="1" t="s">
        <v>31</v>
      </c>
      <c r="C239" s="1" t="s">
        <v>16</v>
      </c>
      <c r="D239" s="1">
        <v>4304</v>
      </c>
      <c r="E239" s="1">
        <v>424.45</v>
      </c>
      <c r="F239" s="1">
        <v>9.8800000000000008</v>
      </c>
      <c r="G239" s="1">
        <v>3</v>
      </c>
      <c r="H239" s="1" t="s">
        <v>12</v>
      </c>
      <c r="I239" s="1" t="s">
        <v>18</v>
      </c>
    </row>
    <row r="240" spans="1:9" x14ac:dyDescent="0.3">
      <c r="A240" s="1" t="s">
        <v>267</v>
      </c>
      <c r="B240" s="1" t="s">
        <v>10</v>
      </c>
      <c r="C240" s="1" t="s">
        <v>16</v>
      </c>
      <c r="D240" s="1">
        <v>1033</v>
      </c>
      <c r="E240" s="1">
        <v>255</v>
      </c>
      <c r="F240" s="1">
        <v>26.38</v>
      </c>
      <c r="G240" s="1">
        <v>40</v>
      </c>
      <c r="H240" s="1" t="s">
        <v>24</v>
      </c>
      <c r="I240" s="1" t="s">
        <v>18</v>
      </c>
    </row>
    <row r="241" spans="1:9" x14ac:dyDescent="0.3">
      <c r="A241" s="1" t="s">
        <v>268</v>
      </c>
      <c r="B241" s="1" t="s">
        <v>47</v>
      </c>
      <c r="C241" s="1" t="s">
        <v>20</v>
      </c>
      <c r="D241" s="1">
        <v>1134</v>
      </c>
      <c r="E241" s="1">
        <v>265.20999999999998</v>
      </c>
      <c r="F241" s="1">
        <v>12.42</v>
      </c>
      <c r="G241" s="1">
        <v>11</v>
      </c>
      <c r="H241" s="1" t="s">
        <v>24</v>
      </c>
      <c r="I241" s="1" t="s">
        <v>13</v>
      </c>
    </row>
    <row r="242" spans="1:9" x14ac:dyDescent="0.3">
      <c r="A242" s="1" t="s">
        <v>269</v>
      </c>
      <c r="B242" s="1" t="s">
        <v>34</v>
      </c>
      <c r="C242" s="1" t="s">
        <v>27</v>
      </c>
      <c r="D242" s="1">
        <v>2384</v>
      </c>
      <c r="E242" s="1">
        <v>448.59</v>
      </c>
      <c r="F242" s="1">
        <v>37.03</v>
      </c>
      <c r="G242" s="1">
        <v>34</v>
      </c>
      <c r="H242" s="1" t="s">
        <v>12</v>
      </c>
      <c r="I242" s="1" t="s">
        <v>21</v>
      </c>
    </row>
    <row r="243" spans="1:9" x14ac:dyDescent="0.3">
      <c r="A243" s="1" t="s">
        <v>270</v>
      </c>
      <c r="B243" s="1" t="s">
        <v>47</v>
      </c>
      <c r="C243" s="1" t="s">
        <v>32</v>
      </c>
      <c r="D243" s="1">
        <v>2993</v>
      </c>
      <c r="E243" s="1">
        <v>451.62</v>
      </c>
      <c r="F243" s="1">
        <v>17.52</v>
      </c>
      <c r="G243" s="1">
        <v>28</v>
      </c>
      <c r="H243" s="1" t="s">
        <v>12</v>
      </c>
      <c r="I243" s="1" t="s">
        <v>21</v>
      </c>
    </row>
    <row r="244" spans="1:9" x14ac:dyDescent="0.3">
      <c r="A244" s="1" t="s">
        <v>271</v>
      </c>
      <c r="B244" s="1" t="s">
        <v>47</v>
      </c>
      <c r="C244" s="1" t="s">
        <v>27</v>
      </c>
      <c r="D244" s="1">
        <v>1472</v>
      </c>
      <c r="E244" s="1">
        <v>84.45</v>
      </c>
      <c r="F244" s="1">
        <v>24.88</v>
      </c>
      <c r="G244" s="1">
        <v>46</v>
      </c>
      <c r="H244" s="1" t="s">
        <v>12</v>
      </c>
      <c r="I244" s="1" t="s">
        <v>18</v>
      </c>
    </row>
    <row r="245" spans="1:9" x14ac:dyDescent="0.3">
      <c r="A245" s="1" t="s">
        <v>272</v>
      </c>
      <c r="B245" s="1" t="s">
        <v>34</v>
      </c>
      <c r="C245" s="1" t="s">
        <v>42</v>
      </c>
      <c r="D245" s="1">
        <v>3023</v>
      </c>
      <c r="E245" s="1">
        <v>112.25</v>
      </c>
      <c r="F245" s="1">
        <v>33.72</v>
      </c>
      <c r="G245" s="1">
        <v>30</v>
      </c>
      <c r="H245" s="1" t="s">
        <v>12</v>
      </c>
      <c r="I245" s="1" t="s">
        <v>21</v>
      </c>
    </row>
    <row r="246" spans="1:9" x14ac:dyDescent="0.3">
      <c r="A246" s="1" t="s">
        <v>273</v>
      </c>
      <c r="B246" s="1" t="s">
        <v>29</v>
      </c>
      <c r="C246" s="1" t="s">
        <v>32</v>
      </c>
      <c r="D246" s="1">
        <v>2359</v>
      </c>
      <c r="E246" s="1">
        <v>78.62</v>
      </c>
      <c r="F246" s="1">
        <v>7.06</v>
      </c>
      <c r="G246" s="1">
        <v>42</v>
      </c>
      <c r="H246" s="1" t="s">
        <v>24</v>
      </c>
      <c r="I246" s="1" t="s">
        <v>13</v>
      </c>
    </row>
    <row r="247" spans="1:9" x14ac:dyDescent="0.3">
      <c r="A247" s="1" t="s">
        <v>274</v>
      </c>
      <c r="B247" s="1" t="s">
        <v>47</v>
      </c>
      <c r="C247" s="1" t="s">
        <v>16</v>
      </c>
      <c r="D247" s="1">
        <v>301</v>
      </c>
      <c r="E247" s="1">
        <v>450.44</v>
      </c>
      <c r="F247" s="1">
        <v>39.22</v>
      </c>
      <c r="G247" s="1">
        <v>46</v>
      </c>
      <c r="H247" s="1" t="s">
        <v>24</v>
      </c>
      <c r="I247" s="1" t="s">
        <v>13</v>
      </c>
    </row>
    <row r="248" spans="1:9" x14ac:dyDescent="0.3">
      <c r="A248" s="1" t="s">
        <v>275</v>
      </c>
      <c r="B248" s="1" t="s">
        <v>15</v>
      </c>
      <c r="C248" s="1" t="s">
        <v>32</v>
      </c>
      <c r="D248" s="1">
        <v>4633</v>
      </c>
      <c r="E248" s="1">
        <v>176.95</v>
      </c>
      <c r="F248" s="1">
        <v>9.67</v>
      </c>
      <c r="G248" s="1">
        <v>29</v>
      </c>
      <c r="H248" s="1" t="s">
        <v>17</v>
      </c>
      <c r="I248" s="1" t="s">
        <v>18</v>
      </c>
    </row>
    <row r="249" spans="1:9" x14ac:dyDescent="0.3">
      <c r="A249" s="1" t="s">
        <v>276</v>
      </c>
      <c r="B249" s="1" t="s">
        <v>23</v>
      </c>
      <c r="C249" s="1" t="s">
        <v>42</v>
      </c>
      <c r="D249" s="1">
        <v>274</v>
      </c>
      <c r="E249" s="1">
        <v>337.83</v>
      </c>
      <c r="F249" s="1">
        <v>24.13</v>
      </c>
      <c r="G249" s="1">
        <v>14</v>
      </c>
      <c r="H249" s="1" t="s">
        <v>17</v>
      </c>
      <c r="I249" s="1" t="s">
        <v>21</v>
      </c>
    </row>
    <row r="250" spans="1:9" x14ac:dyDescent="0.3">
      <c r="A250" s="1" t="s">
        <v>277</v>
      </c>
      <c r="B250" s="1" t="s">
        <v>10</v>
      </c>
      <c r="C250" s="1" t="s">
        <v>42</v>
      </c>
      <c r="D250" s="1">
        <v>1595</v>
      </c>
      <c r="E250" s="1">
        <v>317.37</v>
      </c>
      <c r="F250" s="1">
        <v>15.04</v>
      </c>
      <c r="G250" s="1">
        <v>26</v>
      </c>
      <c r="H250" s="1" t="s">
        <v>17</v>
      </c>
      <c r="I250" s="1" t="s">
        <v>13</v>
      </c>
    </row>
    <row r="251" spans="1:9" x14ac:dyDescent="0.3">
      <c r="A251" s="1" t="s">
        <v>278</v>
      </c>
      <c r="B251" s="1" t="s">
        <v>29</v>
      </c>
      <c r="C251" s="1" t="s">
        <v>11</v>
      </c>
      <c r="D251" s="1">
        <v>908</v>
      </c>
      <c r="E251" s="1">
        <v>149.04</v>
      </c>
      <c r="F251" s="1">
        <v>15.39</v>
      </c>
      <c r="G251" s="1">
        <v>6</v>
      </c>
      <c r="H251" s="1" t="s">
        <v>12</v>
      </c>
      <c r="I251" s="1" t="s">
        <v>21</v>
      </c>
    </row>
    <row r="252" spans="1:9" x14ac:dyDescent="0.3">
      <c r="A252" s="1" t="s">
        <v>279</v>
      </c>
      <c r="B252" s="1" t="s">
        <v>31</v>
      </c>
      <c r="C252" s="1" t="s">
        <v>16</v>
      </c>
      <c r="D252" s="1">
        <v>2641</v>
      </c>
      <c r="E252" s="1">
        <v>348.6</v>
      </c>
      <c r="F252" s="1">
        <v>39.49</v>
      </c>
      <c r="G252" s="1">
        <v>31</v>
      </c>
      <c r="H252" s="1" t="s">
        <v>24</v>
      </c>
      <c r="I252" s="1" t="s">
        <v>13</v>
      </c>
    </row>
    <row r="253" spans="1:9" x14ac:dyDescent="0.3">
      <c r="A253" s="1" t="s">
        <v>280</v>
      </c>
      <c r="B253" s="1" t="s">
        <v>29</v>
      </c>
      <c r="C253" s="1" t="s">
        <v>20</v>
      </c>
      <c r="D253" s="1">
        <v>4317</v>
      </c>
      <c r="E253" s="1">
        <v>186.63</v>
      </c>
      <c r="F253" s="1">
        <v>6.5</v>
      </c>
      <c r="G253" s="1">
        <v>48</v>
      </c>
      <c r="H253" s="1" t="s">
        <v>17</v>
      </c>
      <c r="I253" s="1" t="s">
        <v>13</v>
      </c>
    </row>
    <row r="254" spans="1:9" x14ac:dyDescent="0.3">
      <c r="A254" s="1" t="s">
        <v>281</v>
      </c>
      <c r="B254" s="1" t="s">
        <v>10</v>
      </c>
      <c r="C254" s="1" t="s">
        <v>27</v>
      </c>
      <c r="D254" s="1">
        <v>2873</v>
      </c>
      <c r="E254" s="1">
        <v>245.21</v>
      </c>
      <c r="F254" s="1">
        <v>38.49</v>
      </c>
      <c r="G254" s="1">
        <v>16</v>
      </c>
      <c r="H254" s="1" t="s">
        <v>12</v>
      </c>
      <c r="I254" s="1" t="s">
        <v>13</v>
      </c>
    </row>
    <row r="255" spans="1:9" x14ac:dyDescent="0.3">
      <c r="A255" s="1" t="s">
        <v>282</v>
      </c>
      <c r="B255" s="1" t="s">
        <v>47</v>
      </c>
      <c r="C255" s="1" t="s">
        <v>32</v>
      </c>
      <c r="D255" s="1">
        <v>3885</v>
      </c>
      <c r="E255" s="1">
        <v>247.85</v>
      </c>
      <c r="F255" s="1">
        <v>16.670000000000002</v>
      </c>
      <c r="G255" s="1">
        <v>30</v>
      </c>
      <c r="H255" s="1" t="s">
        <v>24</v>
      </c>
      <c r="I255" s="1" t="s">
        <v>21</v>
      </c>
    </row>
    <row r="256" spans="1:9" x14ac:dyDescent="0.3">
      <c r="A256" s="1" t="s">
        <v>283</v>
      </c>
      <c r="B256" s="1" t="s">
        <v>15</v>
      </c>
      <c r="C256" s="1" t="s">
        <v>20</v>
      </c>
      <c r="D256" s="1">
        <v>1724</v>
      </c>
      <c r="E256" s="1">
        <v>377.33</v>
      </c>
      <c r="F256" s="1">
        <v>30.42</v>
      </c>
      <c r="G256" s="1">
        <v>33</v>
      </c>
      <c r="H256" s="1" t="s">
        <v>24</v>
      </c>
      <c r="I256" s="1" t="s">
        <v>13</v>
      </c>
    </row>
    <row r="257" spans="1:9" x14ac:dyDescent="0.3">
      <c r="A257" s="1" t="s">
        <v>284</v>
      </c>
      <c r="B257" s="1" t="s">
        <v>15</v>
      </c>
      <c r="C257" s="1" t="s">
        <v>11</v>
      </c>
      <c r="D257" s="1">
        <v>2864</v>
      </c>
      <c r="E257" s="1">
        <v>474.69</v>
      </c>
      <c r="F257" s="1">
        <v>38</v>
      </c>
      <c r="G257" s="1">
        <v>28</v>
      </c>
      <c r="H257" s="1" t="s">
        <v>12</v>
      </c>
      <c r="I257" s="1" t="s">
        <v>13</v>
      </c>
    </row>
    <row r="258" spans="1:9" x14ac:dyDescent="0.3">
      <c r="A258" s="1" t="s">
        <v>285</v>
      </c>
      <c r="B258" s="1" t="s">
        <v>29</v>
      </c>
      <c r="C258" s="1" t="s">
        <v>27</v>
      </c>
      <c r="D258" s="1">
        <v>3915</v>
      </c>
      <c r="E258" s="1">
        <v>205.23</v>
      </c>
      <c r="F258" s="1">
        <v>26.54</v>
      </c>
      <c r="G258" s="1">
        <v>4</v>
      </c>
      <c r="H258" s="1" t="s">
        <v>17</v>
      </c>
      <c r="I258" s="1" t="s">
        <v>18</v>
      </c>
    </row>
    <row r="259" spans="1:9" x14ac:dyDescent="0.3">
      <c r="A259" s="1" t="s">
        <v>286</v>
      </c>
      <c r="B259" s="1" t="s">
        <v>34</v>
      </c>
      <c r="C259" s="1" t="s">
        <v>32</v>
      </c>
      <c r="D259" s="1">
        <v>1526</v>
      </c>
      <c r="E259" s="1">
        <v>325.20999999999998</v>
      </c>
      <c r="F259" s="1">
        <v>13.19</v>
      </c>
      <c r="G259" s="1">
        <v>6</v>
      </c>
      <c r="H259" s="1" t="s">
        <v>17</v>
      </c>
      <c r="I259" s="1" t="s">
        <v>21</v>
      </c>
    </row>
    <row r="260" spans="1:9" x14ac:dyDescent="0.3">
      <c r="A260" s="1" t="s">
        <v>287</v>
      </c>
      <c r="B260" s="1" t="s">
        <v>31</v>
      </c>
      <c r="C260" s="1" t="s">
        <v>20</v>
      </c>
      <c r="D260" s="1">
        <v>722</v>
      </c>
      <c r="E260" s="1">
        <v>27.91</v>
      </c>
      <c r="F260" s="1">
        <v>6.28</v>
      </c>
      <c r="G260" s="1">
        <v>46</v>
      </c>
      <c r="H260" s="1" t="s">
        <v>24</v>
      </c>
      <c r="I260" s="1" t="s">
        <v>18</v>
      </c>
    </row>
    <row r="261" spans="1:9" x14ac:dyDescent="0.3">
      <c r="A261" s="1" t="s">
        <v>288</v>
      </c>
      <c r="B261" s="1" t="s">
        <v>31</v>
      </c>
      <c r="C261" s="1" t="s">
        <v>27</v>
      </c>
      <c r="D261" s="1">
        <v>597</v>
      </c>
      <c r="E261" s="1">
        <v>235.96</v>
      </c>
      <c r="F261" s="1">
        <v>32.71</v>
      </c>
      <c r="G261" s="1">
        <v>7</v>
      </c>
      <c r="H261" s="1" t="s">
        <v>17</v>
      </c>
      <c r="I261" s="1" t="s">
        <v>13</v>
      </c>
    </row>
    <row r="262" spans="1:9" x14ac:dyDescent="0.3">
      <c r="A262" s="1" t="s">
        <v>289</v>
      </c>
      <c r="B262" s="1" t="s">
        <v>23</v>
      </c>
      <c r="C262" s="1" t="s">
        <v>27</v>
      </c>
      <c r="D262" s="1">
        <v>675</v>
      </c>
      <c r="E262" s="1">
        <v>52.9</v>
      </c>
      <c r="F262" s="1">
        <v>25.92</v>
      </c>
      <c r="G262" s="1">
        <v>39</v>
      </c>
      <c r="H262" s="1" t="s">
        <v>24</v>
      </c>
      <c r="I262" s="1" t="s">
        <v>18</v>
      </c>
    </row>
    <row r="263" spans="1:9" x14ac:dyDescent="0.3">
      <c r="A263" s="1" t="s">
        <v>290</v>
      </c>
      <c r="B263" s="1" t="s">
        <v>29</v>
      </c>
      <c r="C263" s="1" t="s">
        <v>20</v>
      </c>
      <c r="D263" s="1">
        <v>4796</v>
      </c>
      <c r="E263" s="1">
        <v>429.77</v>
      </c>
      <c r="F263" s="1">
        <v>30.01</v>
      </c>
      <c r="G263" s="1">
        <v>3</v>
      </c>
      <c r="H263" s="1" t="s">
        <v>24</v>
      </c>
      <c r="I263" s="1" t="s">
        <v>21</v>
      </c>
    </row>
    <row r="264" spans="1:9" x14ac:dyDescent="0.3">
      <c r="A264" s="1" t="s">
        <v>291</v>
      </c>
      <c r="B264" s="1" t="s">
        <v>10</v>
      </c>
      <c r="C264" s="1" t="s">
        <v>40</v>
      </c>
      <c r="D264" s="1">
        <v>3777</v>
      </c>
      <c r="E264" s="1">
        <v>167.76</v>
      </c>
      <c r="F264" s="1">
        <v>15.08</v>
      </c>
      <c r="G264" s="1">
        <v>11</v>
      </c>
      <c r="H264" s="1" t="s">
        <v>17</v>
      </c>
      <c r="I264" s="1" t="s">
        <v>18</v>
      </c>
    </row>
    <row r="265" spans="1:9" x14ac:dyDescent="0.3">
      <c r="A265" s="1" t="s">
        <v>292</v>
      </c>
      <c r="B265" s="1" t="s">
        <v>23</v>
      </c>
      <c r="C265" s="1" t="s">
        <v>20</v>
      </c>
      <c r="D265" s="1">
        <v>1842</v>
      </c>
      <c r="E265" s="1">
        <v>220.67</v>
      </c>
      <c r="F265" s="1">
        <v>10.94</v>
      </c>
      <c r="G265" s="1">
        <v>46</v>
      </c>
      <c r="H265" s="1" t="s">
        <v>17</v>
      </c>
      <c r="I265" s="1" t="s">
        <v>21</v>
      </c>
    </row>
    <row r="266" spans="1:9" x14ac:dyDescent="0.3">
      <c r="A266" s="1" t="s">
        <v>293</v>
      </c>
      <c r="B266" s="1" t="s">
        <v>15</v>
      </c>
      <c r="C266" s="1" t="s">
        <v>40</v>
      </c>
      <c r="D266" s="1">
        <v>4154</v>
      </c>
      <c r="E266" s="1">
        <v>148.69</v>
      </c>
      <c r="F266" s="1">
        <v>22.15</v>
      </c>
      <c r="G266" s="1">
        <v>30</v>
      </c>
      <c r="H266" s="1" t="s">
        <v>24</v>
      </c>
      <c r="I266" s="1" t="s">
        <v>21</v>
      </c>
    </row>
    <row r="267" spans="1:9" x14ac:dyDescent="0.3">
      <c r="A267" s="1" t="s">
        <v>294</v>
      </c>
      <c r="B267" s="1" t="s">
        <v>29</v>
      </c>
      <c r="C267" s="1" t="s">
        <v>32</v>
      </c>
      <c r="D267" s="1">
        <v>1300</v>
      </c>
      <c r="E267" s="1">
        <v>338.45</v>
      </c>
      <c r="F267" s="1">
        <v>35.450000000000003</v>
      </c>
      <c r="G267" s="1">
        <v>15</v>
      </c>
      <c r="H267" s="1" t="s">
        <v>17</v>
      </c>
      <c r="I267" s="1" t="s">
        <v>13</v>
      </c>
    </row>
    <row r="268" spans="1:9" x14ac:dyDescent="0.3">
      <c r="A268" s="1" t="s">
        <v>295</v>
      </c>
      <c r="B268" s="1" t="s">
        <v>47</v>
      </c>
      <c r="C268" s="1" t="s">
        <v>20</v>
      </c>
      <c r="D268" s="1">
        <v>3007</v>
      </c>
      <c r="E268" s="1">
        <v>134.09</v>
      </c>
      <c r="F268" s="1">
        <v>6.17</v>
      </c>
      <c r="G268" s="1">
        <v>22</v>
      </c>
      <c r="H268" s="1" t="s">
        <v>12</v>
      </c>
      <c r="I268" s="1" t="s">
        <v>18</v>
      </c>
    </row>
    <row r="269" spans="1:9" x14ac:dyDescent="0.3">
      <c r="A269" s="1" t="s">
        <v>296</v>
      </c>
      <c r="B269" s="1" t="s">
        <v>31</v>
      </c>
      <c r="C269" s="1" t="s">
        <v>42</v>
      </c>
      <c r="D269" s="1">
        <v>3470</v>
      </c>
      <c r="E269" s="1">
        <v>246.45</v>
      </c>
      <c r="F269" s="1">
        <v>20.6</v>
      </c>
      <c r="G269" s="1">
        <v>15</v>
      </c>
      <c r="H269" s="1" t="s">
        <v>24</v>
      </c>
      <c r="I269" s="1" t="s">
        <v>18</v>
      </c>
    </row>
    <row r="270" spans="1:9" x14ac:dyDescent="0.3">
      <c r="A270" s="1" t="s">
        <v>297</v>
      </c>
      <c r="B270" s="1" t="s">
        <v>31</v>
      </c>
      <c r="C270" s="1" t="s">
        <v>40</v>
      </c>
      <c r="D270" s="1">
        <v>449</v>
      </c>
      <c r="E270" s="1">
        <v>175.77</v>
      </c>
      <c r="F270" s="1">
        <v>38.39</v>
      </c>
      <c r="G270" s="1">
        <v>46</v>
      </c>
      <c r="H270" s="1" t="s">
        <v>24</v>
      </c>
      <c r="I270" s="1" t="s">
        <v>21</v>
      </c>
    </row>
    <row r="271" spans="1:9" x14ac:dyDescent="0.3">
      <c r="A271" s="1" t="s">
        <v>298</v>
      </c>
      <c r="B271" s="1" t="s">
        <v>29</v>
      </c>
      <c r="C271" s="1" t="s">
        <v>32</v>
      </c>
      <c r="D271" s="1">
        <v>3695</v>
      </c>
      <c r="E271" s="1">
        <v>243.1</v>
      </c>
      <c r="F271" s="1">
        <v>30.26</v>
      </c>
      <c r="G271" s="1">
        <v>50</v>
      </c>
      <c r="H271" s="1" t="s">
        <v>12</v>
      </c>
      <c r="I271" s="1" t="s">
        <v>13</v>
      </c>
    </row>
    <row r="272" spans="1:9" x14ac:dyDescent="0.3">
      <c r="A272" s="1" t="s">
        <v>299</v>
      </c>
      <c r="B272" s="1" t="s">
        <v>47</v>
      </c>
      <c r="C272" s="1" t="s">
        <v>16</v>
      </c>
      <c r="D272" s="1">
        <v>2240</v>
      </c>
      <c r="E272" s="1">
        <v>344.55</v>
      </c>
      <c r="F272" s="1">
        <v>22.77</v>
      </c>
      <c r="G272" s="1">
        <v>5</v>
      </c>
      <c r="H272" s="1" t="s">
        <v>17</v>
      </c>
      <c r="I272" s="1" t="s">
        <v>13</v>
      </c>
    </row>
    <row r="273" spans="1:9" x14ac:dyDescent="0.3">
      <c r="A273" s="1" t="s">
        <v>300</v>
      </c>
      <c r="B273" s="1" t="s">
        <v>15</v>
      </c>
      <c r="C273" s="1" t="s">
        <v>16</v>
      </c>
      <c r="D273" s="1">
        <v>2691</v>
      </c>
      <c r="E273" s="1">
        <v>318.06</v>
      </c>
      <c r="F273" s="1">
        <v>9.36</v>
      </c>
      <c r="G273" s="1">
        <v>34</v>
      </c>
      <c r="H273" s="1" t="s">
        <v>17</v>
      </c>
      <c r="I273" s="1" t="s">
        <v>13</v>
      </c>
    </row>
    <row r="274" spans="1:9" x14ac:dyDescent="0.3">
      <c r="A274" s="1" t="s">
        <v>301</v>
      </c>
      <c r="B274" s="1" t="s">
        <v>15</v>
      </c>
      <c r="C274" s="1" t="s">
        <v>16</v>
      </c>
      <c r="D274" s="1">
        <v>4870</v>
      </c>
      <c r="E274" s="1">
        <v>38.82</v>
      </c>
      <c r="F274" s="1">
        <v>22.61</v>
      </c>
      <c r="G274" s="1">
        <v>7</v>
      </c>
      <c r="H274" s="1" t="s">
        <v>17</v>
      </c>
      <c r="I274" s="1" t="s">
        <v>13</v>
      </c>
    </row>
    <row r="275" spans="1:9" x14ac:dyDescent="0.3">
      <c r="A275" s="1" t="s">
        <v>302</v>
      </c>
      <c r="B275" s="1" t="s">
        <v>29</v>
      </c>
      <c r="C275" s="1" t="s">
        <v>20</v>
      </c>
      <c r="D275" s="1">
        <v>2006</v>
      </c>
      <c r="E275" s="1">
        <v>467.96</v>
      </c>
      <c r="F275" s="1">
        <v>8.19</v>
      </c>
      <c r="G275" s="1">
        <v>24</v>
      </c>
      <c r="H275" s="1" t="s">
        <v>17</v>
      </c>
      <c r="I275" s="1" t="s">
        <v>21</v>
      </c>
    </row>
    <row r="276" spans="1:9" x14ac:dyDescent="0.3">
      <c r="A276" s="1" t="s">
        <v>303</v>
      </c>
      <c r="B276" s="1" t="s">
        <v>31</v>
      </c>
      <c r="C276" s="1" t="s">
        <v>42</v>
      </c>
      <c r="D276" s="1">
        <v>4985</v>
      </c>
      <c r="E276" s="1">
        <v>56.74</v>
      </c>
      <c r="F276" s="1">
        <v>6.63</v>
      </c>
      <c r="G276" s="1">
        <v>42</v>
      </c>
      <c r="H276" s="1" t="s">
        <v>24</v>
      </c>
      <c r="I276" s="1" t="s">
        <v>18</v>
      </c>
    </row>
    <row r="277" spans="1:9" x14ac:dyDescent="0.3">
      <c r="A277" s="1" t="s">
        <v>304</v>
      </c>
      <c r="B277" s="1" t="s">
        <v>10</v>
      </c>
      <c r="C277" s="1" t="s">
        <v>42</v>
      </c>
      <c r="D277" s="1">
        <v>2159</v>
      </c>
      <c r="E277" s="1">
        <v>248.31</v>
      </c>
      <c r="F277" s="1">
        <v>33.799999999999997</v>
      </c>
      <c r="G277" s="1">
        <v>46</v>
      </c>
      <c r="H277" s="1" t="s">
        <v>17</v>
      </c>
      <c r="I277" s="1" t="s">
        <v>21</v>
      </c>
    </row>
    <row r="278" spans="1:9" x14ac:dyDescent="0.3">
      <c r="A278" s="1" t="s">
        <v>305</v>
      </c>
      <c r="B278" s="1" t="s">
        <v>15</v>
      </c>
      <c r="C278" s="1" t="s">
        <v>16</v>
      </c>
      <c r="D278" s="1">
        <v>4334</v>
      </c>
      <c r="E278" s="1">
        <v>28.87</v>
      </c>
      <c r="F278" s="1">
        <v>23.81</v>
      </c>
      <c r="G278" s="1">
        <v>39</v>
      </c>
      <c r="H278" s="1" t="s">
        <v>12</v>
      </c>
      <c r="I278" s="1" t="s">
        <v>18</v>
      </c>
    </row>
    <row r="279" spans="1:9" x14ac:dyDescent="0.3">
      <c r="A279" s="1" t="s">
        <v>306</v>
      </c>
      <c r="B279" s="1" t="s">
        <v>23</v>
      </c>
      <c r="C279" s="1" t="s">
        <v>32</v>
      </c>
      <c r="D279" s="1">
        <v>2925</v>
      </c>
      <c r="E279" s="1">
        <v>444.13</v>
      </c>
      <c r="F279" s="1">
        <v>7.99</v>
      </c>
      <c r="G279" s="1">
        <v>27</v>
      </c>
      <c r="H279" s="1" t="s">
        <v>24</v>
      </c>
      <c r="I279" s="1" t="s">
        <v>21</v>
      </c>
    </row>
    <row r="280" spans="1:9" x14ac:dyDescent="0.3">
      <c r="A280" s="1" t="s">
        <v>307</v>
      </c>
      <c r="B280" s="1" t="s">
        <v>34</v>
      </c>
      <c r="C280" s="1" t="s">
        <v>20</v>
      </c>
      <c r="D280" s="1">
        <v>3801</v>
      </c>
      <c r="E280" s="1">
        <v>219.18</v>
      </c>
      <c r="F280" s="1">
        <v>32.61</v>
      </c>
      <c r="G280" s="1">
        <v>1</v>
      </c>
      <c r="H280" s="1" t="s">
        <v>24</v>
      </c>
      <c r="I280" s="1" t="s">
        <v>18</v>
      </c>
    </row>
    <row r="281" spans="1:9" x14ac:dyDescent="0.3">
      <c r="A281" s="1" t="s">
        <v>308</v>
      </c>
      <c r="B281" s="1" t="s">
        <v>23</v>
      </c>
      <c r="C281" s="1" t="s">
        <v>42</v>
      </c>
      <c r="D281" s="1">
        <v>3675</v>
      </c>
      <c r="E281" s="1">
        <v>452.03</v>
      </c>
      <c r="F281" s="1">
        <v>29.82</v>
      </c>
      <c r="G281" s="1">
        <v>12</v>
      </c>
      <c r="H281" s="1" t="s">
        <v>17</v>
      </c>
      <c r="I281" s="1" t="s">
        <v>13</v>
      </c>
    </row>
    <row r="282" spans="1:9" x14ac:dyDescent="0.3">
      <c r="A282" s="1" t="s">
        <v>309</v>
      </c>
      <c r="B282" s="1" t="s">
        <v>23</v>
      </c>
      <c r="C282" s="1" t="s">
        <v>11</v>
      </c>
      <c r="D282" s="1">
        <v>2913</v>
      </c>
      <c r="E282" s="1">
        <v>347.47</v>
      </c>
      <c r="F282" s="1">
        <v>31.21</v>
      </c>
      <c r="G282" s="1">
        <v>5</v>
      </c>
      <c r="H282" s="1" t="s">
        <v>12</v>
      </c>
      <c r="I282" s="1" t="s">
        <v>13</v>
      </c>
    </row>
    <row r="283" spans="1:9" x14ac:dyDescent="0.3">
      <c r="A283" s="1" t="s">
        <v>310</v>
      </c>
      <c r="B283" s="1" t="s">
        <v>31</v>
      </c>
      <c r="C283" s="1" t="s">
        <v>16</v>
      </c>
      <c r="D283" s="1">
        <v>2970</v>
      </c>
      <c r="E283" s="1">
        <v>492.81</v>
      </c>
      <c r="F283" s="1">
        <v>15.55</v>
      </c>
      <c r="G283" s="1">
        <v>36</v>
      </c>
      <c r="H283" s="1" t="s">
        <v>24</v>
      </c>
      <c r="I283" s="1" t="s">
        <v>13</v>
      </c>
    </row>
    <row r="284" spans="1:9" x14ac:dyDescent="0.3">
      <c r="A284" s="1" t="s">
        <v>311</v>
      </c>
      <c r="B284" s="1" t="s">
        <v>47</v>
      </c>
      <c r="C284" s="1" t="s">
        <v>42</v>
      </c>
      <c r="D284" s="1">
        <v>3381</v>
      </c>
      <c r="E284" s="1">
        <v>16.03</v>
      </c>
      <c r="F284" s="1">
        <v>19.29</v>
      </c>
      <c r="G284" s="1">
        <v>36</v>
      </c>
      <c r="H284" s="1" t="s">
        <v>12</v>
      </c>
      <c r="I284" s="1" t="s">
        <v>21</v>
      </c>
    </row>
    <row r="285" spans="1:9" x14ac:dyDescent="0.3">
      <c r="A285" s="1" t="s">
        <v>312</v>
      </c>
      <c r="B285" s="1" t="s">
        <v>47</v>
      </c>
      <c r="C285" s="1" t="s">
        <v>16</v>
      </c>
      <c r="D285" s="1">
        <v>1264</v>
      </c>
      <c r="E285" s="1">
        <v>253.62</v>
      </c>
      <c r="F285" s="1">
        <v>8.58</v>
      </c>
      <c r="G285" s="1">
        <v>33</v>
      </c>
      <c r="H285" s="1" t="s">
        <v>17</v>
      </c>
      <c r="I285" s="1" t="s">
        <v>13</v>
      </c>
    </row>
    <row r="286" spans="1:9" x14ac:dyDescent="0.3">
      <c r="A286" s="1" t="s">
        <v>313</v>
      </c>
      <c r="B286" s="1" t="s">
        <v>23</v>
      </c>
      <c r="C286" s="1" t="s">
        <v>27</v>
      </c>
      <c r="D286" s="1">
        <v>4279</v>
      </c>
      <c r="E286" s="1">
        <v>162.56</v>
      </c>
      <c r="F286" s="1">
        <v>30.69</v>
      </c>
      <c r="G286" s="1">
        <v>18</v>
      </c>
      <c r="H286" s="1" t="s">
        <v>24</v>
      </c>
      <c r="I286" s="1" t="s">
        <v>21</v>
      </c>
    </row>
    <row r="287" spans="1:9" x14ac:dyDescent="0.3">
      <c r="A287" s="1" t="s">
        <v>314</v>
      </c>
      <c r="B287" s="1" t="s">
        <v>31</v>
      </c>
      <c r="C287" s="1" t="s">
        <v>11</v>
      </c>
      <c r="D287" s="1">
        <v>3947</v>
      </c>
      <c r="E287" s="1">
        <v>221.74</v>
      </c>
      <c r="F287" s="1">
        <v>8.31</v>
      </c>
      <c r="G287" s="1">
        <v>24</v>
      </c>
      <c r="H287" s="1" t="s">
        <v>24</v>
      </c>
      <c r="I287" s="1" t="s">
        <v>13</v>
      </c>
    </row>
    <row r="288" spans="1:9" x14ac:dyDescent="0.3">
      <c r="A288" s="1" t="s">
        <v>315</v>
      </c>
      <c r="B288" s="1" t="s">
        <v>15</v>
      </c>
      <c r="C288" s="1" t="s">
        <v>20</v>
      </c>
      <c r="D288" s="1">
        <v>3952</v>
      </c>
      <c r="E288" s="1">
        <v>235.12</v>
      </c>
      <c r="F288" s="1">
        <v>19.61</v>
      </c>
      <c r="G288" s="1">
        <v>12</v>
      </c>
      <c r="H288" s="1" t="s">
        <v>12</v>
      </c>
      <c r="I288" s="1" t="s">
        <v>13</v>
      </c>
    </row>
    <row r="289" spans="1:9" x14ac:dyDescent="0.3">
      <c r="A289" s="1" t="s">
        <v>316</v>
      </c>
      <c r="B289" s="1" t="s">
        <v>29</v>
      </c>
      <c r="C289" s="1" t="s">
        <v>20</v>
      </c>
      <c r="D289" s="1">
        <v>2231</v>
      </c>
      <c r="E289" s="1">
        <v>80.42</v>
      </c>
      <c r="F289" s="1">
        <v>27.24</v>
      </c>
      <c r="G289" s="1">
        <v>1</v>
      </c>
      <c r="H289" s="1" t="s">
        <v>24</v>
      </c>
      <c r="I289" s="1" t="s">
        <v>18</v>
      </c>
    </row>
    <row r="290" spans="1:9" x14ac:dyDescent="0.3">
      <c r="A290" s="1" t="s">
        <v>317</v>
      </c>
      <c r="B290" s="1" t="s">
        <v>10</v>
      </c>
      <c r="C290" s="1" t="s">
        <v>42</v>
      </c>
      <c r="D290" s="1">
        <v>4215</v>
      </c>
      <c r="E290" s="1">
        <v>305.31</v>
      </c>
      <c r="F290" s="1">
        <v>37.19</v>
      </c>
      <c r="G290" s="1">
        <v>43</v>
      </c>
      <c r="H290" s="1" t="s">
        <v>24</v>
      </c>
      <c r="I290" s="1" t="s">
        <v>18</v>
      </c>
    </row>
    <row r="291" spans="1:9" x14ac:dyDescent="0.3">
      <c r="A291" s="1" t="s">
        <v>318</v>
      </c>
      <c r="B291" s="1" t="s">
        <v>29</v>
      </c>
      <c r="C291" s="1" t="s">
        <v>32</v>
      </c>
      <c r="D291" s="1">
        <v>4844</v>
      </c>
      <c r="E291" s="1">
        <v>282.77</v>
      </c>
      <c r="F291" s="1">
        <v>32.28</v>
      </c>
      <c r="G291" s="1">
        <v>47</v>
      </c>
      <c r="H291" s="1" t="s">
        <v>12</v>
      </c>
      <c r="I291" s="1" t="s">
        <v>18</v>
      </c>
    </row>
    <row r="292" spans="1:9" x14ac:dyDescent="0.3">
      <c r="A292" s="1" t="s">
        <v>319</v>
      </c>
      <c r="B292" s="1" t="s">
        <v>15</v>
      </c>
      <c r="C292" s="1" t="s">
        <v>32</v>
      </c>
      <c r="D292" s="1">
        <v>854</v>
      </c>
      <c r="E292" s="1">
        <v>382.33</v>
      </c>
      <c r="F292" s="1">
        <v>15.33</v>
      </c>
      <c r="G292" s="1">
        <v>10</v>
      </c>
      <c r="H292" s="1" t="s">
        <v>12</v>
      </c>
      <c r="I292" s="1" t="s">
        <v>21</v>
      </c>
    </row>
    <row r="293" spans="1:9" x14ac:dyDescent="0.3">
      <c r="A293" s="1" t="s">
        <v>320</v>
      </c>
      <c r="B293" s="1" t="s">
        <v>10</v>
      </c>
      <c r="C293" s="1" t="s">
        <v>16</v>
      </c>
      <c r="D293" s="1">
        <v>4898</v>
      </c>
      <c r="E293" s="1">
        <v>269.49</v>
      </c>
      <c r="F293" s="1">
        <v>37.909999999999997</v>
      </c>
      <c r="G293" s="1">
        <v>12</v>
      </c>
      <c r="H293" s="1" t="s">
        <v>12</v>
      </c>
      <c r="I293" s="1" t="s">
        <v>21</v>
      </c>
    </row>
    <row r="294" spans="1:9" x14ac:dyDescent="0.3">
      <c r="A294" s="1" t="s">
        <v>321</v>
      </c>
      <c r="B294" s="1" t="s">
        <v>10</v>
      </c>
      <c r="C294" s="1" t="s">
        <v>20</v>
      </c>
      <c r="D294" s="1">
        <v>2761</v>
      </c>
      <c r="E294" s="1">
        <v>81.53</v>
      </c>
      <c r="F294" s="1">
        <v>9.92</v>
      </c>
      <c r="G294" s="1">
        <v>5</v>
      </c>
      <c r="H294" s="1" t="s">
        <v>24</v>
      </c>
      <c r="I294" s="1" t="s">
        <v>13</v>
      </c>
    </row>
    <row r="295" spans="1:9" x14ac:dyDescent="0.3">
      <c r="A295" s="1" t="s">
        <v>322</v>
      </c>
      <c r="B295" s="1" t="s">
        <v>15</v>
      </c>
      <c r="C295" s="1" t="s">
        <v>16</v>
      </c>
      <c r="D295" s="1">
        <v>3711</v>
      </c>
      <c r="E295" s="1">
        <v>288.83999999999997</v>
      </c>
      <c r="F295" s="1">
        <v>35.31</v>
      </c>
      <c r="G295" s="1">
        <v>14</v>
      </c>
      <c r="H295" s="1" t="s">
        <v>24</v>
      </c>
      <c r="I295" s="1" t="s">
        <v>13</v>
      </c>
    </row>
    <row r="296" spans="1:9" x14ac:dyDescent="0.3">
      <c r="A296" s="1" t="s">
        <v>323</v>
      </c>
      <c r="B296" s="1" t="s">
        <v>31</v>
      </c>
      <c r="C296" s="1" t="s">
        <v>40</v>
      </c>
      <c r="D296" s="1">
        <v>2135</v>
      </c>
      <c r="E296" s="1">
        <v>168.94</v>
      </c>
      <c r="F296" s="1">
        <v>9.6199999999999992</v>
      </c>
      <c r="G296" s="1">
        <v>26</v>
      </c>
      <c r="H296" s="1" t="s">
        <v>24</v>
      </c>
      <c r="I296" s="1" t="s">
        <v>13</v>
      </c>
    </row>
    <row r="297" spans="1:9" x14ac:dyDescent="0.3">
      <c r="A297" s="1" t="s">
        <v>324</v>
      </c>
      <c r="B297" s="1" t="s">
        <v>10</v>
      </c>
      <c r="C297" s="1" t="s">
        <v>40</v>
      </c>
      <c r="D297" s="1">
        <v>628</v>
      </c>
      <c r="E297" s="1">
        <v>316.76</v>
      </c>
      <c r="F297" s="1">
        <v>18.190000000000001</v>
      </c>
      <c r="G297" s="1">
        <v>9</v>
      </c>
      <c r="H297" s="1" t="s">
        <v>12</v>
      </c>
      <c r="I297" s="1" t="s">
        <v>13</v>
      </c>
    </row>
    <row r="298" spans="1:9" x14ac:dyDescent="0.3">
      <c r="A298" s="1" t="s">
        <v>325</v>
      </c>
      <c r="B298" s="1" t="s">
        <v>34</v>
      </c>
      <c r="C298" s="1" t="s">
        <v>27</v>
      </c>
      <c r="D298" s="1">
        <v>2630</v>
      </c>
      <c r="E298" s="1">
        <v>347.97</v>
      </c>
      <c r="F298" s="1">
        <v>19.04</v>
      </c>
      <c r="G298" s="1">
        <v>22</v>
      </c>
      <c r="H298" s="1" t="s">
        <v>17</v>
      </c>
      <c r="I298" s="1" t="s">
        <v>18</v>
      </c>
    </row>
    <row r="299" spans="1:9" x14ac:dyDescent="0.3">
      <c r="A299" s="1" t="s">
        <v>326</v>
      </c>
      <c r="B299" s="1" t="s">
        <v>10</v>
      </c>
      <c r="C299" s="1" t="s">
        <v>27</v>
      </c>
      <c r="D299" s="1">
        <v>585</v>
      </c>
      <c r="E299" s="1">
        <v>234.62</v>
      </c>
      <c r="F299" s="1">
        <v>35.35</v>
      </c>
      <c r="G299" s="1">
        <v>18</v>
      </c>
      <c r="H299" s="1" t="s">
        <v>12</v>
      </c>
      <c r="I299" s="1" t="s">
        <v>21</v>
      </c>
    </row>
    <row r="300" spans="1:9" x14ac:dyDescent="0.3">
      <c r="A300" s="1" t="s">
        <v>327</v>
      </c>
      <c r="B300" s="1" t="s">
        <v>23</v>
      </c>
      <c r="C300" s="1" t="s">
        <v>27</v>
      </c>
      <c r="D300" s="1">
        <v>4842</v>
      </c>
      <c r="E300" s="1">
        <v>151.15</v>
      </c>
      <c r="F300" s="1">
        <v>39</v>
      </c>
      <c r="G300" s="1">
        <v>4</v>
      </c>
      <c r="H300" s="1" t="s">
        <v>12</v>
      </c>
      <c r="I300" s="1" t="s">
        <v>18</v>
      </c>
    </row>
    <row r="301" spans="1:9" x14ac:dyDescent="0.3">
      <c r="A301" s="1" t="s">
        <v>328</v>
      </c>
      <c r="B301" s="1" t="s">
        <v>34</v>
      </c>
      <c r="C301" s="1" t="s">
        <v>32</v>
      </c>
      <c r="D301" s="1">
        <v>3597</v>
      </c>
      <c r="E301" s="1">
        <v>116.57</v>
      </c>
      <c r="F301" s="1">
        <v>36.39</v>
      </c>
      <c r="G301" s="1">
        <v>11</v>
      </c>
      <c r="H301" s="1" t="s">
        <v>24</v>
      </c>
      <c r="I301" s="1" t="s">
        <v>21</v>
      </c>
    </row>
    <row r="302" spans="1:9" x14ac:dyDescent="0.3">
      <c r="A302" s="1" t="s">
        <v>329</v>
      </c>
      <c r="B302" s="1" t="s">
        <v>34</v>
      </c>
      <c r="C302" s="1" t="s">
        <v>11</v>
      </c>
      <c r="D302" s="1">
        <v>2536</v>
      </c>
      <c r="E302" s="1">
        <v>497.31</v>
      </c>
      <c r="F302" s="1">
        <v>31.8</v>
      </c>
      <c r="G302" s="1">
        <v>1</v>
      </c>
      <c r="H302" s="1" t="s">
        <v>12</v>
      </c>
      <c r="I302" s="1" t="s">
        <v>13</v>
      </c>
    </row>
    <row r="303" spans="1:9" x14ac:dyDescent="0.3">
      <c r="A303" s="1" t="s">
        <v>330</v>
      </c>
      <c r="B303" s="1" t="s">
        <v>15</v>
      </c>
      <c r="C303" s="1" t="s">
        <v>16</v>
      </c>
      <c r="D303" s="1">
        <v>1956</v>
      </c>
      <c r="E303" s="1">
        <v>320.18</v>
      </c>
      <c r="F303" s="1">
        <v>13.85</v>
      </c>
      <c r="G303" s="1">
        <v>12</v>
      </c>
      <c r="H303" s="1" t="s">
        <v>24</v>
      </c>
      <c r="I303" s="1" t="s">
        <v>13</v>
      </c>
    </row>
    <row r="304" spans="1:9" x14ac:dyDescent="0.3">
      <c r="A304" s="1" t="s">
        <v>331</v>
      </c>
      <c r="B304" s="1" t="s">
        <v>10</v>
      </c>
      <c r="C304" s="1" t="s">
        <v>32</v>
      </c>
      <c r="D304" s="1">
        <v>4350</v>
      </c>
      <c r="E304" s="1">
        <v>380.53</v>
      </c>
      <c r="F304" s="1">
        <v>12.68</v>
      </c>
      <c r="G304" s="1">
        <v>48</v>
      </c>
      <c r="H304" s="1" t="s">
        <v>24</v>
      </c>
      <c r="I304" s="1" t="s">
        <v>13</v>
      </c>
    </row>
    <row r="305" spans="1:9" x14ac:dyDescent="0.3">
      <c r="A305" s="1" t="s">
        <v>332</v>
      </c>
      <c r="B305" s="1" t="s">
        <v>47</v>
      </c>
      <c r="C305" s="1" t="s">
        <v>42</v>
      </c>
      <c r="D305" s="1">
        <v>434</v>
      </c>
      <c r="E305" s="1">
        <v>86.89</v>
      </c>
      <c r="F305" s="1">
        <v>19.78</v>
      </c>
      <c r="G305" s="1">
        <v>11</v>
      </c>
      <c r="H305" s="1" t="s">
        <v>12</v>
      </c>
      <c r="I305" s="1" t="s">
        <v>13</v>
      </c>
    </row>
    <row r="306" spans="1:9" x14ac:dyDescent="0.3">
      <c r="A306" s="1" t="s">
        <v>333</v>
      </c>
      <c r="B306" s="1" t="s">
        <v>34</v>
      </c>
      <c r="C306" s="1" t="s">
        <v>42</v>
      </c>
      <c r="D306" s="1">
        <v>1538</v>
      </c>
      <c r="E306" s="1">
        <v>425.97</v>
      </c>
      <c r="F306" s="1">
        <v>6.53</v>
      </c>
      <c r="G306" s="1">
        <v>48</v>
      </c>
      <c r="H306" s="1" t="s">
        <v>17</v>
      </c>
      <c r="I306" s="1" t="s">
        <v>13</v>
      </c>
    </row>
    <row r="307" spans="1:9" x14ac:dyDescent="0.3">
      <c r="A307" s="1" t="s">
        <v>334</v>
      </c>
      <c r="B307" s="1" t="s">
        <v>47</v>
      </c>
      <c r="C307" s="1" t="s">
        <v>42</v>
      </c>
      <c r="D307" s="1">
        <v>4191</v>
      </c>
      <c r="E307" s="1">
        <v>187.7</v>
      </c>
      <c r="F307" s="1">
        <v>27.15</v>
      </c>
      <c r="G307" s="1">
        <v>5</v>
      </c>
      <c r="H307" s="1" t="s">
        <v>12</v>
      </c>
      <c r="I307" s="1" t="s">
        <v>13</v>
      </c>
    </row>
    <row r="308" spans="1:9" x14ac:dyDescent="0.3">
      <c r="A308" s="1" t="s">
        <v>335</v>
      </c>
      <c r="B308" s="1" t="s">
        <v>31</v>
      </c>
      <c r="C308" s="1" t="s">
        <v>27</v>
      </c>
      <c r="D308" s="1">
        <v>759</v>
      </c>
      <c r="E308" s="1">
        <v>276.54000000000002</v>
      </c>
      <c r="F308" s="1">
        <v>25.92</v>
      </c>
      <c r="G308" s="1">
        <v>7</v>
      </c>
      <c r="H308" s="1" t="s">
        <v>24</v>
      </c>
      <c r="I308" s="1" t="s">
        <v>21</v>
      </c>
    </row>
    <row r="309" spans="1:9" x14ac:dyDescent="0.3">
      <c r="A309" s="1" t="s">
        <v>336</v>
      </c>
      <c r="B309" s="1" t="s">
        <v>15</v>
      </c>
      <c r="C309" s="1" t="s">
        <v>11</v>
      </c>
      <c r="D309" s="1">
        <v>1249</v>
      </c>
      <c r="E309" s="1">
        <v>287.60000000000002</v>
      </c>
      <c r="F309" s="1">
        <v>36.29</v>
      </c>
      <c r="G309" s="1">
        <v>14</v>
      </c>
      <c r="H309" s="1" t="s">
        <v>12</v>
      </c>
      <c r="I309" s="1" t="s">
        <v>13</v>
      </c>
    </row>
    <row r="310" spans="1:9" x14ac:dyDescent="0.3">
      <c r="A310" s="1" t="s">
        <v>337</v>
      </c>
      <c r="B310" s="1" t="s">
        <v>23</v>
      </c>
      <c r="C310" s="1" t="s">
        <v>40</v>
      </c>
      <c r="D310" s="1">
        <v>4753</v>
      </c>
      <c r="E310" s="1">
        <v>270.5</v>
      </c>
      <c r="F310" s="1">
        <v>29.8</v>
      </c>
      <c r="G310" s="1">
        <v>7</v>
      </c>
      <c r="H310" s="1" t="s">
        <v>12</v>
      </c>
      <c r="I310" s="1" t="s">
        <v>21</v>
      </c>
    </row>
    <row r="311" spans="1:9" x14ac:dyDescent="0.3">
      <c r="A311" s="1" t="s">
        <v>338</v>
      </c>
      <c r="B311" s="1" t="s">
        <v>15</v>
      </c>
      <c r="C311" s="1" t="s">
        <v>20</v>
      </c>
      <c r="D311" s="1">
        <v>2675</v>
      </c>
      <c r="E311" s="1">
        <v>467.34</v>
      </c>
      <c r="F311" s="1">
        <v>28.66</v>
      </c>
      <c r="G311" s="1">
        <v>28</v>
      </c>
      <c r="H311" s="1" t="s">
        <v>17</v>
      </c>
      <c r="I311" s="1" t="s">
        <v>13</v>
      </c>
    </row>
    <row r="312" spans="1:9" x14ac:dyDescent="0.3">
      <c r="A312" s="1" t="s">
        <v>339</v>
      </c>
      <c r="B312" s="1" t="s">
        <v>15</v>
      </c>
      <c r="C312" s="1" t="s">
        <v>16</v>
      </c>
      <c r="D312" s="1">
        <v>2421</v>
      </c>
      <c r="E312" s="1">
        <v>213.22</v>
      </c>
      <c r="F312" s="1">
        <v>32.78</v>
      </c>
      <c r="G312" s="1">
        <v>32</v>
      </c>
      <c r="H312" s="1" t="s">
        <v>17</v>
      </c>
      <c r="I312" s="1" t="s">
        <v>18</v>
      </c>
    </row>
    <row r="313" spans="1:9" x14ac:dyDescent="0.3">
      <c r="A313" s="1" t="s">
        <v>340</v>
      </c>
      <c r="B313" s="1" t="s">
        <v>47</v>
      </c>
      <c r="C313" s="1" t="s">
        <v>32</v>
      </c>
      <c r="D313" s="1">
        <v>2911</v>
      </c>
      <c r="E313" s="1">
        <v>21.74</v>
      </c>
      <c r="F313" s="1">
        <v>22.65</v>
      </c>
      <c r="G313" s="1">
        <v>1</v>
      </c>
      <c r="H313" s="1" t="s">
        <v>17</v>
      </c>
      <c r="I313" s="1" t="s">
        <v>21</v>
      </c>
    </row>
    <row r="314" spans="1:9" x14ac:dyDescent="0.3">
      <c r="A314" s="1" t="s">
        <v>341</v>
      </c>
      <c r="B314" s="1" t="s">
        <v>10</v>
      </c>
      <c r="C314" s="1" t="s">
        <v>20</v>
      </c>
      <c r="D314" s="1">
        <v>1389</v>
      </c>
      <c r="E314" s="1">
        <v>489.95</v>
      </c>
      <c r="F314" s="1">
        <v>35.1</v>
      </c>
      <c r="G314" s="1">
        <v>25</v>
      </c>
      <c r="H314" s="1" t="s">
        <v>24</v>
      </c>
      <c r="I314" s="1" t="s">
        <v>13</v>
      </c>
    </row>
    <row r="315" spans="1:9" x14ac:dyDescent="0.3">
      <c r="A315" s="1" t="s">
        <v>342</v>
      </c>
      <c r="B315" s="1" t="s">
        <v>15</v>
      </c>
      <c r="C315" s="1" t="s">
        <v>42</v>
      </c>
      <c r="D315" s="1">
        <v>203</v>
      </c>
      <c r="E315" s="1">
        <v>452.75</v>
      </c>
      <c r="F315" s="1">
        <v>21.68</v>
      </c>
      <c r="G315" s="1">
        <v>6</v>
      </c>
      <c r="H315" s="1" t="s">
        <v>17</v>
      </c>
      <c r="I315" s="1" t="s">
        <v>21</v>
      </c>
    </row>
    <row r="316" spans="1:9" x14ac:dyDescent="0.3">
      <c r="A316" s="1" t="s">
        <v>343</v>
      </c>
      <c r="B316" s="1" t="s">
        <v>47</v>
      </c>
      <c r="C316" s="1" t="s">
        <v>11</v>
      </c>
      <c r="D316" s="1">
        <v>2223</v>
      </c>
      <c r="E316" s="1">
        <v>434.74</v>
      </c>
      <c r="F316" s="1">
        <v>24.51</v>
      </c>
      <c r="G316" s="1">
        <v>4</v>
      </c>
      <c r="H316" s="1" t="s">
        <v>17</v>
      </c>
      <c r="I316" s="1" t="s">
        <v>18</v>
      </c>
    </row>
    <row r="317" spans="1:9" x14ac:dyDescent="0.3">
      <c r="A317" s="1" t="s">
        <v>344</v>
      </c>
      <c r="B317" s="1" t="s">
        <v>34</v>
      </c>
      <c r="C317" s="1" t="s">
        <v>16</v>
      </c>
      <c r="D317" s="1">
        <v>3119</v>
      </c>
      <c r="E317" s="1">
        <v>59.18</v>
      </c>
      <c r="F317" s="1">
        <v>35.42</v>
      </c>
      <c r="G317" s="1">
        <v>41</v>
      </c>
      <c r="H317" s="1" t="s">
        <v>17</v>
      </c>
      <c r="I317" s="1" t="s">
        <v>18</v>
      </c>
    </row>
    <row r="318" spans="1:9" x14ac:dyDescent="0.3">
      <c r="A318" s="1" t="s">
        <v>345</v>
      </c>
      <c r="B318" s="1" t="s">
        <v>47</v>
      </c>
      <c r="C318" s="1" t="s">
        <v>32</v>
      </c>
      <c r="D318" s="1">
        <v>986</v>
      </c>
      <c r="E318" s="1">
        <v>325.98</v>
      </c>
      <c r="F318" s="1">
        <v>35.020000000000003</v>
      </c>
      <c r="G318" s="1">
        <v>11</v>
      </c>
      <c r="H318" s="1" t="s">
        <v>12</v>
      </c>
      <c r="I318" s="1" t="s">
        <v>13</v>
      </c>
    </row>
    <row r="319" spans="1:9" x14ac:dyDescent="0.3">
      <c r="A319" s="1" t="s">
        <v>346</v>
      </c>
      <c r="B319" s="1" t="s">
        <v>10</v>
      </c>
      <c r="C319" s="1" t="s">
        <v>27</v>
      </c>
      <c r="D319" s="1">
        <v>3005</v>
      </c>
      <c r="E319" s="1">
        <v>254.63</v>
      </c>
      <c r="F319" s="1">
        <v>13.54</v>
      </c>
      <c r="G319" s="1">
        <v>19</v>
      </c>
      <c r="H319" s="1" t="s">
        <v>24</v>
      </c>
      <c r="I319" s="1" t="s">
        <v>13</v>
      </c>
    </row>
    <row r="320" spans="1:9" x14ac:dyDescent="0.3">
      <c r="A320" s="1" t="s">
        <v>347</v>
      </c>
      <c r="B320" s="1" t="s">
        <v>29</v>
      </c>
      <c r="C320" s="1" t="s">
        <v>16</v>
      </c>
      <c r="D320" s="1">
        <v>649</v>
      </c>
      <c r="E320" s="1">
        <v>261.73</v>
      </c>
      <c r="F320" s="1">
        <v>39.71</v>
      </c>
      <c r="G320" s="1">
        <v>19</v>
      </c>
      <c r="H320" s="1" t="s">
        <v>17</v>
      </c>
      <c r="I320" s="1" t="s">
        <v>18</v>
      </c>
    </row>
    <row r="321" spans="1:9" x14ac:dyDescent="0.3">
      <c r="A321" s="1" t="s">
        <v>348</v>
      </c>
      <c r="B321" s="1" t="s">
        <v>31</v>
      </c>
      <c r="C321" s="1" t="s">
        <v>27</v>
      </c>
      <c r="D321" s="1">
        <v>2181</v>
      </c>
      <c r="E321" s="1">
        <v>91.36</v>
      </c>
      <c r="F321" s="1">
        <v>29.31</v>
      </c>
      <c r="G321" s="1"/>
      <c r="H321" s="1" t="s">
        <v>17</v>
      </c>
      <c r="I321" s="1" t="s">
        <v>13</v>
      </c>
    </row>
    <row r="322" spans="1:9" x14ac:dyDescent="0.3">
      <c r="A322" s="1"/>
      <c r="B322" s="1"/>
      <c r="C322" s="1"/>
      <c r="D322" s="1"/>
      <c r="E322" s="1"/>
      <c r="F322" s="1">
        <f>MAX(F2:F321)</f>
        <v>39.85</v>
      </c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>
        <f>MIN(F2:F321)</f>
        <v>5.0599999999999996</v>
      </c>
      <c r="G323" s="1"/>
      <c r="H323" s="1"/>
      <c r="I323" s="1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8350-73AD-4C3B-892B-407F75155E4A}">
  <dimension ref="B3:G52"/>
  <sheetViews>
    <sheetView workbookViewId="0">
      <selection activeCell="J8" sqref="J8"/>
    </sheetView>
  </sheetViews>
  <sheetFormatPr defaultRowHeight="14.4" x14ac:dyDescent="0.3"/>
  <sheetData>
    <row r="3" spans="2:7" x14ac:dyDescent="0.3">
      <c r="B3" t="str" cm="1">
        <f t="array" ref="B3:G52">_xlfn._xlws.FILTER(Industry_Data!A1:F321,Industry_Data!B1:B321="healthcare")</f>
        <v>CMP0001</v>
      </c>
      <c r="C3" t="str">
        <v>Healthcare</v>
      </c>
      <c r="D3" t="str">
        <v>chennai</v>
      </c>
      <c r="E3">
        <v>1916</v>
      </c>
      <c r="F3">
        <v>206.47</v>
      </c>
      <c r="G3">
        <v>19.13</v>
      </c>
    </row>
    <row r="4" spans="2:7" x14ac:dyDescent="0.3">
      <c r="B4" t="str">
        <v>CMP0003</v>
      </c>
      <c r="C4" t="str">
        <v>Healthcare</v>
      </c>
      <c r="D4" t="str">
        <v>Pune</v>
      </c>
      <c r="E4">
        <v>4959</v>
      </c>
      <c r="F4">
        <v>400.23</v>
      </c>
      <c r="G4">
        <v>38.81</v>
      </c>
    </row>
    <row r="5" spans="2:7" x14ac:dyDescent="0.3">
      <c r="B5" t="str">
        <v>CMP0005</v>
      </c>
      <c r="C5" t="str">
        <v>Healthcare</v>
      </c>
      <c r="D5" t="str">
        <v>Pune</v>
      </c>
      <c r="E5">
        <v>4732</v>
      </c>
      <c r="F5">
        <v>600</v>
      </c>
      <c r="G5">
        <v>12.17</v>
      </c>
    </row>
    <row r="6" spans="2:7" x14ac:dyDescent="0.3">
      <c r="B6" t="str">
        <v>CMP0011</v>
      </c>
      <c r="C6" t="str">
        <v>Healthcare</v>
      </c>
      <c r="D6" t="str">
        <v>Delhi</v>
      </c>
      <c r="E6">
        <v>4340</v>
      </c>
      <c r="F6">
        <v>346.81</v>
      </c>
      <c r="G6">
        <v>14.23</v>
      </c>
    </row>
    <row r="7" spans="2:7" x14ac:dyDescent="0.3">
      <c r="B7" t="str">
        <v>CMP0012</v>
      </c>
      <c r="C7" t="str">
        <v>Healthcare</v>
      </c>
      <c r="D7" t="str">
        <v>Bangalore</v>
      </c>
      <c r="E7">
        <v>1092</v>
      </c>
      <c r="F7">
        <v>472.78</v>
      </c>
      <c r="G7">
        <v>24.88</v>
      </c>
    </row>
    <row r="8" spans="2:7" x14ac:dyDescent="0.3">
      <c r="B8" t="str">
        <v>CMP0021</v>
      </c>
      <c r="C8" t="str">
        <v>Healthcare</v>
      </c>
      <c r="D8" t="str">
        <v>Bangalore</v>
      </c>
      <c r="E8">
        <v>1681</v>
      </c>
      <c r="F8">
        <v>110.23</v>
      </c>
      <c r="G8">
        <v>31.43</v>
      </c>
    </row>
    <row r="9" spans="2:7" x14ac:dyDescent="0.3">
      <c r="B9" t="str">
        <v>CMP0022</v>
      </c>
      <c r="C9" t="str">
        <v>Healthcare</v>
      </c>
      <c r="D9" t="str">
        <v>Hyderabad</v>
      </c>
      <c r="E9">
        <v>2830</v>
      </c>
      <c r="F9">
        <v>454.45</v>
      </c>
      <c r="G9">
        <v>9.3800000000000008</v>
      </c>
    </row>
    <row r="10" spans="2:7" x14ac:dyDescent="0.3">
      <c r="B10" t="str">
        <v>CMP0034</v>
      </c>
      <c r="C10" t="str">
        <v>Healthcare</v>
      </c>
      <c r="D10" t="str">
        <v>Hyderabad</v>
      </c>
      <c r="E10">
        <v>2771</v>
      </c>
      <c r="F10">
        <v>199.51</v>
      </c>
      <c r="G10">
        <v>33.659999999999997</v>
      </c>
    </row>
    <row r="11" spans="2:7" x14ac:dyDescent="0.3">
      <c r="B11" t="str">
        <v>CMP0037</v>
      </c>
      <c r="C11" t="str">
        <v>Healthcare</v>
      </c>
      <c r="D11" t="str">
        <v>Delhi</v>
      </c>
      <c r="E11">
        <v>1565</v>
      </c>
      <c r="F11">
        <v>325.48</v>
      </c>
      <c r="G11">
        <v>22.88</v>
      </c>
    </row>
    <row r="12" spans="2:7" x14ac:dyDescent="0.3">
      <c r="B12" t="str">
        <v>CMP0049</v>
      </c>
      <c r="C12" t="str">
        <v>Healthcare</v>
      </c>
      <c r="D12" t="str">
        <v>Mumbai</v>
      </c>
      <c r="E12">
        <v>457</v>
      </c>
      <c r="F12">
        <v>96.48</v>
      </c>
      <c r="G12">
        <v>21.56</v>
      </c>
    </row>
    <row r="13" spans="2:7" x14ac:dyDescent="0.3">
      <c r="B13" t="str">
        <v>CMP0052</v>
      </c>
      <c r="C13" t="str">
        <v>Healthcare</v>
      </c>
      <c r="D13" t="str">
        <v>Mumbai</v>
      </c>
      <c r="E13">
        <v>2827</v>
      </c>
      <c r="F13">
        <v>393.89</v>
      </c>
      <c r="G13">
        <v>20.49</v>
      </c>
    </row>
    <row r="14" spans="2:7" x14ac:dyDescent="0.3">
      <c r="B14" t="str">
        <v>CMP0054</v>
      </c>
      <c r="C14" t="str">
        <v>Healthcare</v>
      </c>
      <c r="D14" t="str">
        <v>Bangalore</v>
      </c>
      <c r="E14">
        <v>1527</v>
      </c>
      <c r="F14">
        <v>471.87</v>
      </c>
      <c r="G14">
        <v>32.26</v>
      </c>
    </row>
    <row r="15" spans="2:7" x14ac:dyDescent="0.3">
      <c r="B15" t="str">
        <v>CMP0060</v>
      </c>
      <c r="C15" t="str">
        <v>Healthcare</v>
      </c>
      <c r="D15" t="str">
        <v>Bangalore</v>
      </c>
      <c r="E15">
        <v>2800</v>
      </c>
      <c r="F15">
        <v>246</v>
      </c>
      <c r="G15">
        <v>31.27</v>
      </c>
    </row>
    <row r="16" spans="2:7" x14ac:dyDescent="0.3">
      <c r="B16" t="str">
        <v>CMP0062</v>
      </c>
      <c r="C16" t="str">
        <v>Healthcare</v>
      </c>
      <c r="D16" t="str">
        <v>Ahmedabad</v>
      </c>
      <c r="E16">
        <v>738</v>
      </c>
      <c r="F16">
        <v>474.96</v>
      </c>
      <c r="G16">
        <v>24.6</v>
      </c>
    </row>
    <row r="17" spans="2:7" x14ac:dyDescent="0.3">
      <c r="B17" t="str">
        <v>CMP0066</v>
      </c>
      <c r="C17" t="str">
        <v>Healthcare</v>
      </c>
      <c r="D17" t="str">
        <v>Bangalore</v>
      </c>
      <c r="E17">
        <v>4011</v>
      </c>
      <c r="F17">
        <v>26.02</v>
      </c>
      <c r="G17">
        <v>27.3</v>
      </c>
    </row>
    <row r="18" spans="2:7" x14ac:dyDescent="0.3">
      <c r="B18" t="str">
        <v>CMP0074</v>
      </c>
      <c r="C18" t="str">
        <v>Healthcare</v>
      </c>
      <c r="D18" t="str">
        <v>Chennai</v>
      </c>
      <c r="E18">
        <v>200</v>
      </c>
      <c r="F18">
        <v>44.72</v>
      </c>
      <c r="G18">
        <v>16.239999999999998</v>
      </c>
    </row>
    <row r="19" spans="2:7" x14ac:dyDescent="0.3">
      <c r="B19" t="str">
        <v>CMP0080</v>
      </c>
      <c r="C19" t="str">
        <v>Healthcare</v>
      </c>
      <c r="D19" t="str">
        <v>Ahmedabad</v>
      </c>
      <c r="E19">
        <v>4994</v>
      </c>
      <c r="F19">
        <v>427.09</v>
      </c>
      <c r="G19">
        <v>9.56</v>
      </c>
    </row>
    <row r="20" spans="2:7" x14ac:dyDescent="0.3">
      <c r="B20" t="str">
        <v>CMP0087</v>
      </c>
      <c r="C20" t="str">
        <v>Healthcare</v>
      </c>
      <c r="D20" t="str">
        <v>Pune</v>
      </c>
      <c r="E20">
        <v>498</v>
      </c>
      <c r="F20">
        <v>17.93</v>
      </c>
      <c r="G20">
        <v>17</v>
      </c>
    </row>
    <row r="21" spans="2:7" x14ac:dyDescent="0.3">
      <c r="B21" t="str">
        <v>CMP0095</v>
      </c>
      <c r="C21" t="str">
        <v>Healthcare</v>
      </c>
      <c r="D21" t="str">
        <v>Chennai</v>
      </c>
      <c r="E21">
        <v>2864</v>
      </c>
      <c r="F21">
        <v>308.72000000000003</v>
      </c>
      <c r="G21">
        <v>7.87</v>
      </c>
    </row>
    <row r="22" spans="2:7" x14ac:dyDescent="0.3">
      <c r="B22" t="str">
        <v>CMP0106</v>
      </c>
      <c r="C22" t="str">
        <v>Healthcare</v>
      </c>
      <c r="D22" t="str">
        <v>Chennai</v>
      </c>
      <c r="E22">
        <v>2272</v>
      </c>
      <c r="F22">
        <v>60.72</v>
      </c>
      <c r="G22">
        <v>29.51</v>
      </c>
    </row>
    <row r="23" spans="2:7" x14ac:dyDescent="0.3">
      <c r="B23" t="str">
        <v>CMP0108</v>
      </c>
      <c r="C23" t="str">
        <v>Healthcare</v>
      </c>
      <c r="D23" t="str">
        <v>Chennai</v>
      </c>
      <c r="E23">
        <v>1965</v>
      </c>
      <c r="F23">
        <v>105.51</v>
      </c>
      <c r="G23">
        <v>33.299999999999997</v>
      </c>
    </row>
    <row r="24" spans="2:7" x14ac:dyDescent="0.3">
      <c r="B24" t="str">
        <v>CMP0109</v>
      </c>
      <c r="C24" t="str">
        <v>Healthcare</v>
      </c>
      <c r="D24" t="str">
        <v>Ahmedabad</v>
      </c>
      <c r="E24">
        <v>3870</v>
      </c>
      <c r="F24">
        <v>316.52999999999997</v>
      </c>
      <c r="G24">
        <v>14.73</v>
      </c>
    </row>
    <row r="25" spans="2:7" x14ac:dyDescent="0.3">
      <c r="B25" t="str">
        <v>CMP0121</v>
      </c>
      <c r="C25" t="str">
        <v>Healthcare</v>
      </c>
      <c r="D25" t="str">
        <v>Mumbai</v>
      </c>
      <c r="E25">
        <v>821</v>
      </c>
      <c r="F25">
        <v>73.349999999999994</v>
      </c>
      <c r="G25">
        <v>7.12</v>
      </c>
    </row>
    <row r="26" spans="2:7" x14ac:dyDescent="0.3">
      <c r="B26" t="str">
        <v>CMP0134</v>
      </c>
      <c r="C26" t="str">
        <v>Healthcare</v>
      </c>
      <c r="D26" t="str">
        <v>Ahmedabad</v>
      </c>
      <c r="E26">
        <v>425</v>
      </c>
      <c r="F26">
        <v>479.41</v>
      </c>
      <c r="G26">
        <v>21.62</v>
      </c>
    </row>
    <row r="27" spans="2:7" x14ac:dyDescent="0.3">
      <c r="B27" t="str">
        <v>CMP0145</v>
      </c>
      <c r="C27" t="str">
        <v>Healthcare</v>
      </c>
      <c r="D27" t="str">
        <v>Chennai</v>
      </c>
      <c r="E27">
        <v>1135</v>
      </c>
      <c r="F27">
        <v>335.19</v>
      </c>
      <c r="G27">
        <v>23.02</v>
      </c>
    </row>
    <row r="28" spans="2:7" x14ac:dyDescent="0.3">
      <c r="B28" t="str">
        <v>CMP0148</v>
      </c>
      <c r="C28" t="str">
        <v>Healthcare</v>
      </c>
      <c r="D28" t="str">
        <v>Hyderabad</v>
      </c>
      <c r="E28">
        <v>4552</v>
      </c>
      <c r="F28">
        <v>393.28</v>
      </c>
      <c r="G28">
        <v>17.11</v>
      </c>
    </row>
    <row r="29" spans="2:7" x14ac:dyDescent="0.3">
      <c r="B29" t="str">
        <v>CMP0160</v>
      </c>
      <c r="C29" t="str">
        <v>Healthcare</v>
      </c>
      <c r="D29" t="str">
        <v>Hyderabad</v>
      </c>
      <c r="E29">
        <v>4058</v>
      </c>
      <c r="F29">
        <v>137.4</v>
      </c>
      <c r="G29">
        <v>17.93</v>
      </c>
    </row>
    <row r="30" spans="2:7" x14ac:dyDescent="0.3">
      <c r="B30" t="str">
        <v>CMP0169</v>
      </c>
      <c r="C30" t="str">
        <v>Healthcare</v>
      </c>
      <c r="D30" t="str">
        <v>Mumbai</v>
      </c>
      <c r="E30">
        <v>1414</v>
      </c>
      <c r="F30">
        <v>194</v>
      </c>
      <c r="G30">
        <v>23.59</v>
      </c>
    </row>
    <row r="31" spans="2:7" x14ac:dyDescent="0.3">
      <c r="B31" t="str">
        <v>CMP0177</v>
      </c>
      <c r="C31" t="str">
        <v>Healthcare</v>
      </c>
      <c r="D31" t="str">
        <v>Ahmedabad</v>
      </c>
      <c r="E31">
        <v>1931</v>
      </c>
      <c r="F31">
        <v>326.02</v>
      </c>
      <c r="G31">
        <v>10.34</v>
      </c>
    </row>
    <row r="32" spans="2:7" x14ac:dyDescent="0.3">
      <c r="B32" t="str">
        <v>CMP0180</v>
      </c>
      <c r="C32" t="str">
        <v>Healthcare</v>
      </c>
      <c r="D32" t="str">
        <v>Delhi</v>
      </c>
      <c r="E32">
        <v>3904</v>
      </c>
      <c r="F32">
        <v>302.16000000000003</v>
      </c>
      <c r="G32">
        <v>15</v>
      </c>
    </row>
    <row r="33" spans="2:7" x14ac:dyDescent="0.3">
      <c r="B33" t="str">
        <v>CMP0183</v>
      </c>
      <c r="C33" t="str">
        <v>Healthcare</v>
      </c>
      <c r="D33" t="str">
        <v>Delhi</v>
      </c>
      <c r="E33">
        <v>4460</v>
      </c>
      <c r="F33">
        <v>182.44</v>
      </c>
      <c r="G33">
        <v>17.18</v>
      </c>
    </row>
    <row r="34" spans="2:7" x14ac:dyDescent="0.3">
      <c r="B34" t="str">
        <v>CMP0204</v>
      </c>
      <c r="C34" t="str">
        <v>Healthcare</v>
      </c>
      <c r="D34" t="str">
        <v>Mumbai</v>
      </c>
      <c r="E34">
        <v>3556</v>
      </c>
      <c r="F34">
        <v>195.34</v>
      </c>
      <c r="G34">
        <v>8.2899999999999991</v>
      </c>
    </row>
    <row r="35" spans="2:7" x14ac:dyDescent="0.3">
      <c r="B35" t="str">
        <v>CMP0206</v>
      </c>
      <c r="C35" t="str">
        <v>Healthcare</v>
      </c>
      <c r="D35" t="str">
        <v>Chennai</v>
      </c>
      <c r="E35">
        <v>4842</v>
      </c>
      <c r="F35">
        <v>312.17</v>
      </c>
      <c r="G35">
        <v>35.36</v>
      </c>
    </row>
    <row r="36" spans="2:7" x14ac:dyDescent="0.3">
      <c r="B36" t="str">
        <v>CMP0207</v>
      </c>
      <c r="C36" t="str">
        <v>Healthcare</v>
      </c>
      <c r="D36" t="str">
        <v>Pune</v>
      </c>
      <c r="E36">
        <v>4589</v>
      </c>
      <c r="F36">
        <v>151.18</v>
      </c>
      <c r="G36">
        <v>25.36</v>
      </c>
    </row>
    <row r="37" spans="2:7" x14ac:dyDescent="0.3">
      <c r="B37" t="str">
        <v>CMP0211</v>
      </c>
      <c r="C37" t="str">
        <v>Healthcare</v>
      </c>
      <c r="D37" t="str">
        <v>Bangalore</v>
      </c>
      <c r="E37">
        <v>2952</v>
      </c>
      <c r="F37">
        <v>242.02</v>
      </c>
      <c r="G37">
        <v>18.77</v>
      </c>
    </row>
    <row r="38" spans="2:7" x14ac:dyDescent="0.3">
      <c r="B38" t="str">
        <v>CMP0217</v>
      </c>
      <c r="C38" t="str">
        <v>Healthcare</v>
      </c>
      <c r="D38" t="str">
        <v>Delhi</v>
      </c>
      <c r="E38">
        <v>943</v>
      </c>
      <c r="F38">
        <v>180.37</v>
      </c>
      <c r="G38">
        <v>9.26</v>
      </c>
    </row>
    <row r="39" spans="2:7" x14ac:dyDescent="0.3">
      <c r="B39" t="str">
        <v>CMP0219</v>
      </c>
      <c r="C39" t="str">
        <v>Healthcare</v>
      </c>
      <c r="D39" t="str">
        <v>Bangalore</v>
      </c>
      <c r="E39">
        <v>4495</v>
      </c>
      <c r="F39">
        <v>268.04000000000002</v>
      </c>
      <c r="G39">
        <v>17.149999999999999</v>
      </c>
    </row>
    <row r="40" spans="2:7" x14ac:dyDescent="0.3">
      <c r="B40" t="str">
        <v>CMP0239</v>
      </c>
      <c r="C40" t="str">
        <v>Healthcare</v>
      </c>
      <c r="D40" t="str">
        <v>Bangalore</v>
      </c>
      <c r="E40">
        <v>1033</v>
      </c>
      <c r="F40">
        <v>255</v>
      </c>
      <c r="G40">
        <v>26.38</v>
      </c>
    </row>
    <row r="41" spans="2:7" x14ac:dyDescent="0.3">
      <c r="B41" t="str">
        <v>CMP0249</v>
      </c>
      <c r="C41" t="str">
        <v>Healthcare</v>
      </c>
      <c r="D41" t="str">
        <v>Ahmedabad</v>
      </c>
      <c r="E41">
        <v>1595</v>
      </c>
      <c r="F41">
        <v>317.37</v>
      </c>
      <c r="G41">
        <v>15.04</v>
      </c>
    </row>
    <row r="42" spans="2:7" x14ac:dyDescent="0.3">
      <c r="B42" t="str">
        <v>CMP0253</v>
      </c>
      <c r="C42" t="str">
        <v>Healthcare</v>
      </c>
      <c r="D42" t="str">
        <v>Hyderabad</v>
      </c>
      <c r="E42">
        <v>2873</v>
      </c>
      <c r="F42">
        <v>245.21</v>
      </c>
      <c r="G42">
        <v>38.49</v>
      </c>
    </row>
    <row r="43" spans="2:7" x14ac:dyDescent="0.3">
      <c r="B43" t="str">
        <v>CMP0263</v>
      </c>
      <c r="C43" t="str">
        <v>Healthcare</v>
      </c>
      <c r="D43" t="str">
        <v>Mumbai</v>
      </c>
      <c r="E43">
        <v>3777</v>
      </c>
      <c r="F43">
        <v>167.76</v>
      </c>
      <c r="G43">
        <v>15.08</v>
      </c>
    </row>
    <row r="44" spans="2:7" x14ac:dyDescent="0.3">
      <c r="B44" t="str">
        <v>CMP0276</v>
      </c>
      <c r="C44" t="str">
        <v>Healthcare</v>
      </c>
      <c r="D44" t="str">
        <v>Ahmedabad</v>
      </c>
      <c r="E44">
        <v>2159</v>
      </c>
      <c r="F44">
        <v>248.31</v>
      </c>
      <c r="G44">
        <v>33.799999999999997</v>
      </c>
    </row>
    <row r="45" spans="2:7" x14ac:dyDescent="0.3">
      <c r="B45" t="str">
        <v>CMP0289</v>
      </c>
      <c r="C45" t="str">
        <v>Healthcare</v>
      </c>
      <c r="D45" t="str">
        <v>Ahmedabad</v>
      </c>
      <c r="E45">
        <v>4215</v>
      </c>
      <c r="F45">
        <v>305.31</v>
      </c>
      <c r="G45">
        <v>37.19</v>
      </c>
    </row>
    <row r="46" spans="2:7" x14ac:dyDescent="0.3">
      <c r="B46" t="str">
        <v>CMP0292</v>
      </c>
      <c r="C46" t="str">
        <v>Healthcare</v>
      </c>
      <c r="D46" t="str">
        <v>Bangalore</v>
      </c>
      <c r="E46">
        <v>4898</v>
      </c>
      <c r="F46">
        <v>269.49</v>
      </c>
      <c r="G46">
        <v>37.909999999999997</v>
      </c>
    </row>
    <row r="47" spans="2:7" x14ac:dyDescent="0.3">
      <c r="B47" t="str">
        <v>CMP0293</v>
      </c>
      <c r="C47" t="str">
        <v>Healthcare</v>
      </c>
      <c r="D47" t="str">
        <v>Pune</v>
      </c>
      <c r="E47">
        <v>2761</v>
      </c>
      <c r="F47">
        <v>81.53</v>
      </c>
      <c r="G47">
        <v>9.92</v>
      </c>
    </row>
    <row r="48" spans="2:7" x14ac:dyDescent="0.3">
      <c r="B48" t="str">
        <v>CMP0296</v>
      </c>
      <c r="C48" t="str">
        <v>Healthcare</v>
      </c>
      <c r="D48" t="str">
        <v>Mumbai</v>
      </c>
      <c r="E48">
        <v>628</v>
      </c>
      <c r="F48">
        <v>316.76</v>
      </c>
      <c r="G48">
        <v>18.190000000000001</v>
      </c>
    </row>
    <row r="49" spans="2:7" x14ac:dyDescent="0.3">
      <c r="B49" t="str">
        <v>CMP0298</v>
      </c>
      <c r="C49" t="str">
        <v>Healthcare</v>
      </c>
      <c r="D49" t="str">
        <v>Hyderabad</v>
      </c>
      <c r="E49">
        <v>585</v>
      </c>
      <c r="F49">
        <v>234.62</v>
      </c>
      <c r="G49">
        <v>35.35</v>
      </c>
    </row>
    <row r="50" spans="2:7" x14ac:dyDescent="0.3">
      <c r="B50" t="str">
        <v>CMP0303</v>
      </c>
      <c r="C50" t="str">
        <v>Healthcare</v>
      </c>
      <c r="D50" t="str">
        <v>Delhi</v>
      </c>
      <c r="E50">
        <v>4350</v>
      </c>
      <c r="F50">
        <v>380.53</v>
      </c>
      <c r="G50">
        <v>12.68</v>
      </c>
    </row>
    <row r="51" spans="2:7" x14ac:dyDescent="0.3">
      <c r="B51" t="str">
        <v>CMP0313</v>
      </c>
      <c r="C51" t="str">
        <v>Healthcare</v>
      </c>
      <c r="D51" t="str">
        <v>Pune</v>
      </c>
      <c r="E51">
        <v>1389</v>
      </c>
      <c r="F51">
        <v>489.95</v>
      </c>
      <c r="G51">
        <v>35.1</v>
      </c>
    </row>
    <row r="52" spans="2:7" x14ac:dyDescent="0.3">
      <c r="B52" t="str">
        <v>CMP0318</v>
      </c>
      <c r="C52" t="str">
        <v>Healthcare</v>
      </c>
      <c r="D52" t="str">
        <v>Hyderabad</v>
      </c>
      <c r="E52">
        <v>3005</v>
      </c>
      <c r="F52">
        <v>254.63</v>
      </c>
      <c r="G52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Industry_Data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Bommishitty Raghu</cp:lastModifiedBy>
  <dcterms:created xsi:type="dcterms:W3CDTF">2026-03-03T10:50:50Z</dcterms:created>
  <dcterms:modified xsi:type="dcterms:W3CDTF">2026-07-16T09:58:01Z</dcterms:modified>
</cp:coreProperties>
</file>